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\POLITECNICO\TERZO ANNO\MATERIE\PRIMO SEMESTRE\IMPIANTI INDUSTRIALI\MASCHERINE\1_\"/>
    </mc:Choice>
  </mc:AlternateContent>
  <xr:revisionPtr revIDLastSave="0" documentId="13_ncr:1_{29B4AE9F-238E-4D5B-8925-3ED7A2353FB3}" xr6:coauthVersionLast="47" xr6:coauthVersionMax="47" xr10:uidLastSave="{00000000-0000-0000-0000-000000000000}"/>
  <bookViews>
    <workbookView xWindow="-108" yWindow="-108" windowWidth="23256" windowHeight="12576" activeTab="1" xr2:uid="{5599E2F4-17A4-7B47-9DA2-4C3042248605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6" i="2" s="1"/>
  <c r="F7" i="2"/>
  <c r="H5" i="2" s="1"/>
  <c r="E5" i="2"/>
  <c r="E4" i="2"/>
  <c r="E7" i="2" s="1"/>
  <c r="E6" i="2"/>
  <c r="B93" i="1"/>
  <c r="B92" i="1"/>
  <c r="B91" i="1"/>
  <c r="B24" i="1"/>
  <c r="B23" i="1"/>
  <c r="B47" i="1" s="1"/>
  <c r="B48" i="1" s="1"/>
  <c r="B60" i="1" s="1"/>
  <c r="B25" i="1"/>
  <c r="N47" i="1" s="1"/>
  <c r="O87" i="1"/>
  <c r="H92" i="1" s="1"/>
  <c r="D94" i="1"/>
  <c r="J94" i="1"/>
  <c r="H87" i="1"/>
  <c r="H88" i="1"/>
  <c r="H86" i="1"/>
  <c r="B29" i="1"/>
  <c r="B86" i="1" s="1"/>
  <c r="C91" i="1"/>
  <c r="D81" i="1"/>
  <c r="J81" i="1"/>
  <c r="N66" i="1"/>
  <c r="H66" i="1"/>
  <c r="B66" i="1"/>
  <c r="N60" i="1"/>
  <c r="H47" i="1"/>
  <c r="N40" i="1"/>
  <c r="N41" i="1" s="1"/>
  <c r="N58" i="1" s="1"/>
  <c r="E72" i="1"/>
  <c r="F72" i="1" s="1"/>
  <c r="E73" i="1"/>
  <c r="B79" i="1" s="1"/>
  <c r="N44" i="1"/>
  <c r="N50" i="1" s="1"/>
  <c r="N67" i="1" s="1"/>
  <c r="N42" i="1"/>
  <c r="N51" i="1" s="1"/>
  <c r="N61" i="1" s="1"/>
  <c r="H42" i="1"/>
  <c r="H51" i="1" s="1"/>
  <c r="H61" i="1" s="1"/>
  <c r="H40" i="1"/>
  <c r="H64" i="1" s="1"/>
  <c r="B42" i="1"/>
  <c r="B65" i="1" s="1"/>
  <c r="B40" i="1"/>
  <c r="B41" i="1" s="1"/>
  <c r="B58" i="1" s="1"/>
  <c r="B36" i="1"/>
  <c r="B31" i="1"/>
  <c r="B88" i="1" s="1"/>
  <c r="B30" i="1"/>
  <c r="H36" i="1" s="1"/>
  <c r="E74" i="1"/>
  <c r="B80" i="1" s="1"/>
  <c r="B18" i="1"/>
  <c r="B17" i="1"/>
  <c r="B16" i="1"/>
  <c r="B11" i="1"/>
  <c r="B9" i="1"/>
  <c r="H4" i="2" l="1"/>
  <c r="H6" i="2"/>
  <c r="G5" i="2"/>
  <c r="H93" i="1"/>
  <c r="P87" i="1"/>
  <c r="H91" i="1"/>
  <c r="I91" i="1" s="1"/>
  <c r="I92" i="1"/>
  <c r="I93" i="1"/>
  <c r="B64" i="1"/>
  <c r="N64" i="1"/>
  <c r="H65" i="1"/>
  <c r="N65" i="1"/>
  <c r="H78" i="1"/>
  <c r="I78" i="1" s="1"/>
  <c r="H80" i="1"/>
  <c r="I80" i="1" s="1"/>
  <c r="N68" i="1"/>
  <c r="H79" i="1"/>
  <c r="I79" i="1" s="1"/>
  <c r="F73" i="1"/>
  <c r="H50" i="1"/>
  <c r="H67" i="1" s="1"/>
  <c r="B51" i="1"/>
  <c r="B61" i="1" s="1"/>
  <c r="N36" i="1"/>
  <c r="B87" i="1"/>
  <c r="B50" i="1"/>
  <c r="B67" i="1" s="1"/>
  <c r="B78" i="1"/>
  <c r="F74" i="1"/>
  <c r="N48" i="1"/>
  <c r="H48" i="1"/>
  <c r="H60" i="1" s="1"/>
  <c r="H7" i="2" l="1"/>
  <c r="I4" i="2" s="1"/>
  <c r="I5" i="2" s="1"/>
  <c r="I6" i="2" s="1"/>
  <c r="N45" i="1"/>
  <c r="N62" i="1" s="1"/>
  <c r="H43" i="1"/>
  <c r="H59" i="1" s="1"/>
  <c r="C79" i="1"/>
  <c r="B43" i="1"/>
  <c r="B59" i="1" s="1"/>
  <c r="N43" i="1" l="1"/>
  <c r="N59" i="1" s="1"/>
  <c r="C80" i="1"/>
  <c r="H41" i="1"/>
  <c r="H58" i="1" s="1"/>
  <c r="C93" i="1" l="1"/>
  <c r="C92" i="1"/>
  <c r="C78" i="1" l="1"/>
</calcChain>
</file>

<file path=xl/sharedStrings.xml><?xml version="1.0" encoding="utf-8"?>
<sst xmlns="http://schemas.openxmlformats.org/spreadsheetml/2006/main" count="185" uniqueCount="114">
  <si>
    <t>produzione annua del tipo di mascherina</t>
  </si>
  <si>
    <t>I</t>
  </si>
  <si>
    <t>II</t>
  </si>
  <si>
    <t>IIR</t>
  </si>
  <si>
    <t>Cm=</t>
  </si>
  <si>
    <t>Membri gruppo</t>
  </si>
  <si>
    <t>Nome</t>
  </si>
  <si>
    <t>Numero</t>
  </si>
  <si>
    <t>Cognome</t>
  </si>
  <si>
    <t>Eleonora</t>
  </si>
  <si>
    <t>Arras</t>
  </si>
  <si>
    <t>Martina</t>
  </si>
  <si>
    <t>Agnese</t>
  </si>
  <si>
    <t>Chiara</t>
  </si>
  <si>
    <t>Angelini</t>
  </si>
  <si>
    <t>Giada</t>
  </si>
  <si>
    <t>Barbieri</t>
  </si>
  <si>
    <t xml:space="preserve">Federica </t>
  </si>
  <si>
    <t>Bottero</t>
  </si>
  <si>
    <t>Alessandro</t>
  </si>
  <si>
    <t>Dorelli</t>
  </si>
  <si>
    <t>Colosi</t>
  </si>
  <si>
    <t>Giuseppe</t>
  </si>
  <si>
    <t>Hermann</t>
  </si>
  <si>
    <t>Gabriele</t>
  </si>
  <si>
    <t>Incatasciato</t>
  </si>
  <si>
    <t>Bax</t>
  </si>
  <si>
    <t>Iemmolo</t>
  </si>
  <si>
    <t>Fazio</t>
  </si>
  <si>
    <t>Totale membri</t>
  </si>
  <si>
    <t>Nm=</t>
  </si>
  <si>
    <t>Produzione tipo I=</t>
  </si>
  <si>
    <t xml:space="preserve">Produzione richiesta [unità/giorni] </t>
  </si>
  <si>
    <t>Produzione tipo II=</t>
  </si>
  <si>
    <t>Produzione tipo IIR=</t>
  </si>
  <si>
    <t>Produzione settimanale considerando 5 giorni lavorativi [unità/settimana]</t>
  </si>
  <si>
    <t>Tipo I</t>
  </si>
  <si>
    <t>Tipo II</t>
  </si>
  <si>
    <t>Tipo IIR</t>
  </si>
  <si>
    <t>scarto=</t>
  </si>
  <si>
    <t>Lunghezza bobina TNT [mm]</t>
  </si>
  <si>
    <t>Lunghezza bobina laccetti [mm]</t>
  </si>
  <si>
    <t>Lunghezza bobina ferretto [mm]</t>
  </si>
  <si>
    <t>Lunghezza mascherina [mm]</t>
  </si>
  <si>
    <t>Lunghezza laccetti [mm]</t>
  </si>
  <si>
    <t>Lunghezza ferretto [mm]</t>
  </si>
  <si>
    <t>Perché necessito di 2 strati</t>
  </si>
  <si>
    <t>Volumi in entrata [m^3]</t>
  </si>
  <si>
    <t>Volume totale scatole TNT</t>
  </si>
  <si>
    <t>Bobina TNT</t>
  </si>
  <si>
    <t>larghezza</t>
  </si>
  <si>
    <t>lunghezza</t>
  </si>
  <si>
    <t>altezza</t>
  </si>
  <si>
    <t>Dimensioni scatole [mm]</t>
  </si>
  <si>
    <t>Bobina laccetti</t>
  </si>
  <si>
    <t>Volume [mm^3]</t>
  </si>
  <si>
    <t>Volume totale scatole ferretti</t>
  </si>
  <si>
    <t>Volume totale scatole laccetti</t>
  </si>
  <si>
    <t>Bobina ferretti</t>
  </si>
  <si>
    <t>Volume totale scatole Tipo I</t>
  </si>
  <si>
    <t>Volume totale scatole Tipo IIR</t>
  </si>
  <si>
    <t>Volume [m^3]</t>
  </si>
  <si>
    <t>Quantitativo richiesto [unità]</t>
  </si>
  <si>
    <t>TNT [unità]</t>
  </si>
  <si>
    <t>Totale settimanale Spunbond [unità]</t>
  </si>
  <si>
    <t>Totale Meltblow [unità]</t>
  </si>
  <si>
    <t>Totale settimanale Meltblow [unità]</t>
  </si>
  <si>
    <t>Totale Spunlace [unità]</t>
  </si>
  <si>
    <t>Totale settimanale Spunlace [unità]</t>
  </si>
  <si>
    <t>Laccetti [unità]</t>
  </si>
  <si>
    <t>Totale settimanale [unità]</t>
  </si>
  <si>
    <t xml:space="preserve">Totale settimanale ferretti [unità] </t>
  </si>
  <si>
    <t>Bobine TNT Spunbond richieste settimanalmente [unità]</t>
  </si>
  <si>
    <t>Bobine TNT Meltblow richieste settimanalmente [unità]</t>
  </si>
  <si>
    <t>Bobine laccetti richieste settimanalmente [unità]</t>
  </si>
  <si>
    <t>Bobine ferretti richieste settimanalmente [unità]</t>
  </si>
  <si>
    <t>Bobine TNT Spunlace richieste settimanalmente [unità]</t>
  </si>
  <si>
    <t>Produzione ideale [unità]</t>
  </si>
  <si>
    <t xml:space="preserve">Totale ferretti [unità] </t>
  </si>
  <si>
    <t>Numero di scatole di mascherine in uscita settimanalmente [unità]</t>
  </si>
  <si>
    <t>Volumi in entrata settimanalmente [mm^3]</t>
  </si>
  <si>
    <t>Volumi in entrata giornalmente [mm^3]</t>
  </si>
  <si>
    <t>Bobine TNT Spunbond richieste giornalmente [unità]</t>
  </si>
  <si>
    <t>Bobine TNT Meltblow richieste giornalmente [unità]</t>
  </si>
  <si>
    <t>Bobine laccetti richieste giornalmente [unità]</t>
  </si>
  <si>
    <t>Bobine ferretti richieste giornalmente [unità]</t>
  </si>
  <si>
    <t>Bobine TNT Spunlace richieste giornalmente [unità]</t>
  </si>
  <si>
    <t>Volumi in uscita settimanalmente [mm^3]</t>
  </si>
  <si>
    <t>Volume totale scatole Tipo I settimanalmente</t>
  </si>
  <si>
    <t>Volume totale scatole Tipo IIR settimanalmente</t>
  </si>
  <si>
    <t>Volume totale giornaliero</t>
  </si>
  <si>
    <t>Volume totale settimanale</t>
  </si>
  <si>
    <t>Volumi in uscita giornalmente [mm^3]</t>
  </si>
  <si>
    <t>Volume totale scatole Tipo II</t>
  </si>
  <si>
    <t>Tipo</t>
  </si>
  <si>
    <t>Quantità [unità/anno]</t>
  </si>
  <si>
    <t>Produzione base giornaliera considerando 220 giorni [unità/giorno]</t>
  </si>
  <si>
    <t>Produzione richiesta tipo I [unità/giorni]=</t>
  </si>
  <si>
    <t>Produzione richiesta tipo II [unità/giorni]=</t>
  </si>
  <si>
    <t>Produzione richiesta tipo IIR [unità/giorni]=</t>
  </si>
  <si>
    <t>Produzione tipo I [unità/settimana]=</t>
  </si>
  <si>
    <t>Produzione tipo II [unità/settimana]=</t>
  </si>
  <si>
    <t>Produzione tipo IIR [unità/settimana]=</t>
  </si>
  <si>
    <t>Totale Spunbond giornaliero [unità]</t>
  </si>
  <si>
    <t>Numero di scatole di mascherine in uscita giornalmente [unità]</t>
  </si>
  <si>
    <t>Dimensione scatola A [mm]</t>
  </si>
  <si>
    <t>Produzione oraria richiesta [unità/h]</t>
  </si>
  <si>
    <t>Totale</t>
  </si>
  <si>
    <t>Numero2</t>
  </si>
  <si>
    <t>Volume totale scatole Tipo II settimanalmente</t>
  </si>
  <si>
    <t>ARROTONDATA</t>
  </si>
  <si>
    <t>% CUM. PRODOTTI</t>
  </si>
  <si>
    <t>% CUM Q</t>
  </si>
  <si>
    <t>Q PERCENTUALE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</si>
</sst>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43" fontId="0" fillId="0" borderId="0" xfId="2" applyFont="1"/>
    <xf numFmtId="43" fontId="0" fillId="2" borderId="0" xfId="2" applyFont="1" applyFill="1"/>
    <xf numFmtId="43" fontId="0" fillId="3" borderId="0" xfId="2" applyFont="1" applyFill="1"/>
    <xf numFmtId="43" fontId="0" fillId="4" borderId="0" xfId="2" applyFont="1" applyFill="1"/>
    <xf numFmtId="43" fontId="0" fillId="2" borderId="1" xfId="2" applyFont="1" applyFill="1" applyBorder="1"/>
    <xf numFmtId="43" fontId="0" fillId="3" borderId="1" xfId="2" applyFont="1" applyFill="1" applyBorder="1"/>
    <xf numFmtId="43" fontId="0" fillId="4" borderId="1" xfId="2" applyFont="1" applyFill="1" applyBorder="1"/>
    <xf numFmtId="43" fontId="0" fillId="5" borderId="0" xfId="2" applyFont="1" applyFill="1"/>
    <xf numFmtId="43" fontId="0" fillId="0" borderId="1" xfId="2" applyFont="1" applyBorder="1"/>
    <xf numFmtId="43" fontId="0" fillId="0" borderId="2" xfId="2" applyFont="1" applyBorder="1"/>
    <xf numFmtId="43" fontId="0" fillId="0" borderId="3" xfId="2" applyFont="1" applyBorder="1"/>
    <xf numFmtId="43" fontId="1" fillId="0" borderId="4" xfId="2" applyFont="1" applyBorder="1"/>
    <xf numFmtId="43" fontId="0" fillId="0" borderId="4" xfId="2" applyFont="1" applyBorder="1"/>
    <xf numFmtId="43" fontId="0" fillId="0" borderId="5" xfId="2" applyFont="1" applyBorder="1"/>
    <xf numFmtId="43" fontId="0" fillId="0" borderId="6" xfId="2" applyFont="1" applyBorder="1"/>
    <xf numFmtId="43" fontId="0" fillId="0" borderId="7" xfId="2" applyFont="1" applyBorder="1"/>
    <xf numFmtId="43" fontId="0" fillId="5" borderId="1" xfId="2" applyFont="1" applyFill="1" applyBorder="1"/>
    <xf numFmtId="164" fontId="0" fillId="0" borderId="1" xfId="2" applyNumberFormat="1" applyFont="1" applyBorder="1"/>
    <xf numFmtId="43" fontId="0" fillId="6" borderId="1" xfId="2" applyFont="1" applyFill="1" applyBorder="1"/>
    <xf numFmtId="43" fontId="0" fillId="7" borderId="1" xfId="2" applyFont="1" applyFill="1" applyBorder="1"/>
    <xf numFmtId="43" fontId="3" fillId="0" borderId="0" xfId="2" applyFont="1" applyAlignment="1">
      <alignment horizontal="center"/>
    </xf>
    <xf numFmtId="10" fontId="0" fillId="0" borderId="0" xfId="1" applyNumberFormat="1" applyFont="1"/>
    <xf numFmtId="0" fontId="0" fillId="0" borderId="0" xfId="0" applyAlignment="1"/>
    <xf numFmtId="0" fontId="4" fillId="0" borderId="0" xfId="0" applyFont="1" applyAlignment="1">
      <alignment horizontal="center"/>
    </xf>
    <xf numFmtId="0" fontId="0" fillId="3" borderId="1" xfId="0" applyFill="1" applyBorder="1"/>
    <xf numFmtId="10" fontId="0" fillId="3" borderId="1" xfId="1" applyNumberFormat="1" applyFont="1" applyFill="1" applyBorder="1"/>
    <xf numFmtId="0" fontId="0" fillId="4" borderId="1" xfId="0" applyFill="1" applyBorder="1"/>
    <xf numFmtId="10" fontId="0" fillId="4" borderId="1" xfId="1" applyNumberFormat="1" applyFont="1" applyFill="1" applyBorder="1"/>
    <xf numFmtId="0" fontId="0" fillId="2" borderId="1" xfId="0" applyFill="1" applyBorder="1"/>
    <xf numFmtId="10" fontId="0" fillId="2" borderId="1" xfId="1" applyNumberFormat="1" applyFont="1" applyFill="1" applyBorder="1"/>
    <xf numFmtId="0" fontId="0" fillId="0" borderId="1" xfId="0" applyBorder="1"/>
    <xf numFmtId="9" fontId="0" fillId="0" borderId="1" xfId="0" applyNumberFormat="1" applyBorder="1"/>
    <xf numFmtId="0" fontId="0" fillId="0" borderId="0" xfId="0" applyAlignment="1">
      <alignment horizontal="center"/>
    </xf>
    <xf numFmtId="9" fontId="0" fillId="0" borderId="0" xfId="1" applyFont="1"/>
  </cellXfs>
  <cellStyles count="3">
    <cellStyle name="Migliaia" xfId="2" builtinId="3"/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ANALISI</a:t>
            </a:r>
            <a:r>
              <a:rPr lang="it-IT" baseline="0"/>
              <a:t> ABC: Passo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E36-4170-B051-B74990FEE1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36-4170-B051-B74990FEE1C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E36-4170-B051-B74990FEE1CE}"/>
              </c:ext>
            </c:extLst>
          </c:dPt>
          <c:cat>
            <c:strRef>
              <c:f>Foglio2!$C$4:$C$6</c:f>
              <c:strCache>
                <c:ptCount val="3"/>
                <c:pt idx="0">
                  <c:v>Tipo II</c:v>
                </c:pt>
                <c:pt idx="1">
                  <c:v>Tipo IIR</c:v>
                </c:pt>
                <c:pt idx="2">
                  <c:v>Tipo I</c:v>
                </c:pt>
              </c:strCache>
            </c:strRef>
          </c:cat>
          <c:val>
            <c:numRef>
              <c:f>Foglio2!$F$4:$F$6</c:f>
              <c:numCache>
                <c:formatCode>General</c:formatCode>
                <c:ptCount val="3"/>
                <c:pt idx="0">
                  <c:v>8637</c:v>
                </c:pt>
                <c:pt idx="1">
                  <c:v>5758</c:v>
                </c:pt>
                <c:pt idx="2">
                  <c:v>3839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6-4170-B051-B74990FEE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2470016"/>
        <c:axId val="512470432"/>
      </c:barChart>
      <c:catAx>
        <c:axId val="51247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2470432"/>
        <c:crosses val="autoZero"/>
        <c:auto val="1"/>
        <c:lblAlgn val="ctr"/>
        <c:lblOffset val="100"/>
        <c:noMultiLvlLbl val="0"/>
      </c:catAx>
      <c:valAx>
        <c:axId val="5124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247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CURVA DI PARETO (Empirica)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dLbls>
            <c:dLbl>
              <c:idx val="3"/>
              <c:layout>
                <c:manualLayout>
                  <c:x val="-3.6363636363636362E-2"/>
                  <c:y val="-8.514261387824606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A9-44E2-B988-2955271AED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Foglio2!$G$3:$G$6</c:f>
              <c:numCache>
                <c:formatCode>0.00%</c:formatCode>
                <c:ptCount val="4"/>
                <c:pt idx="0" formatCode="0%">
                  <c:v>0</c:v>
                </c:pt>
                <c:pt idx="1">
                  <c:v>0.33333333333333331</c:v>
                </c:pt>
                <c:pt idx="2">
                  <c:v>0.66666666666666663</c:v>
                </c:pt>
                <c:pt idx="3">
                  <c:v>1</c:v>
                </c:pt>
              </c:numCache>
            </c:numRef>
          </c:cat>
          <c:val>
            <c:numRef>
              <c:f>Foglio2!$I$3:$I$6</c:f>
              <c:numCache>
                <c:formatCode>0.00%</c:formatCode>
                <c:ptCount val="4"/>
                <c:pt idx="0" formatCode="0%">
                  <c:v>0</c:v>
                </c:pt>
                <c:pt idx="1">
                  <c:v>0.47367555116814741</c:v>
                </c:pt>
                <c:pt idx="2">
                  <c:v>0.78945925194691235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9-44C0-823C-AF106D081257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519387824"/>
        <c:axId val="519388656"/>
      </c:areaChart>
      <c:catAx>
        <c:axId val="5193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% CUM. 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9388656"/>
        <c:crosses val="autoZero"/>
        <c:auto val="1"/>
        <c:lblAlgn val="ctr"/>
        <c:lblOffset val="100"/>
        <c:noMultiLvlLbl val="1"/>
      </c:catAx>
      <c:valAx>
        <c:axId val="5193886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% CUM.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938782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339090</xdr:colOff>
      <xdr:row>9</xdr:row>
      <xdr:rowOff>19050</xdr:rowOff>
    </xdr:from>
    <xdr:to>
      <xdr:col>4</xdr:col>
      <xdr:colOff>461010</xdr:colOff>
      <xdr:row>22</xdr:row>
      <xdr:rowOff>186690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954D961-E3B0-4A47-9032-743A0615C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1108710</xdr:colOff>
      <xdr:row>8</xdr:row>
      <xdr:rowOff>163830</xdr:rowOff>
    </xdr:from>
    <xdr:to>
      <xdr:col>10</xdr:col>
      <xdr:colOff>38100</xdr:colOff>
      <xdr:row>23</xdr:row>
      <xdr:rowOff>175260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BDCF6E2A-8E80-41EB-8122-FDA9D0C42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A7DE5-17E4-4D81-93BB-1B4EAE5CA099}" name="Tabella1" displayName="Tabella1" ref="J3:M16" totalsRowShown="0" headerRowCellStyle="Migliaia" dataCellStyle="Migliaia">
  <autoFilter ref="J3:M16" xr:uid="{800A7DE5-17E4-4D81-93BB-1B4EAE5CA099}"/>
  <tableColumns count="4">
    <tableColumn id="1" xr3:uid="{E53A6B08-2667-41FE-BB97-31E1DB59B14D}" name="Nome" dataCellStyle="Migliaia"/>
    <tableColumn id="2" xr3:uid="{0AD88549-7CC1-4ACB-AD44-45BBF08F8607}" name="Numero" dataCellStyle="Migliaia"/>
    <tableColumn id="3" xr3:uid="{D91C2EEB-B73B-441C-910D-D2FCB2D72FBC}" name="Cognome" dataCellStyle="Migliaia"/>
    <tableColumn id="4" xr3:uid="{1E68CE95-0B16-49E3-8E83-75ECCF979418}" name="Numero2" dataCellStyle="Migliaia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E6BA-B5E1-D34F-A372-6C8CC008B477}">
  <dimension ref="A1:P94"/>
  <sheetViews>
    <sheetView topLeftCell="A2" zoomScale="60" zoomScaleNormal="60" workbookViewId="0">
      <selection activeCell="E22" sqref="E22"/>
    </sheetView>
  </sheetViews>
  <sheetFormatPr defaultColWidth="11.19921875" defaultRowHeight="15.6" x14ac:dyDescent="0.3"/>
  <cols>
    <col min="1" max="1" width="71.09765625" style="3" customWidth="1"/>
    <col min="2" max="2" width="24.59765625" style="3" customWidth="1"/>
    <col min="3" max="3" width="21.19921875" style="3" customWidth="1"/>
    <col min="4" max="4" width="28.796875" style="3" customWidth="1"/>
    <col min="5" max="5" width="21.796875" style="3" customWidth="1"/>
    <col min="6" max="6" width="15.69921875" style="3" customWidth="1"/>
    <col min="7" max="7" width="61.5" style="3" bestFit="1" customWidth="1"/>
    <col min="8" max="8" width="21.296875" style="3" bestFit="1" customWidth="1"/>
    <col min="9" max="9" width="29.296875" style="3" customWidth="1"/>
    <col min="10" max="10" width="23.796875" style="3" customWidth="1"/>
    <col min="11" max="11" width="11.19921875" style="3"/>
    <col min="12" max="12" width="28.5" style="3" bestFit="1" customWidth="1"/>
    <col min="13" max="13" width="56.09765625" style="3" bestFit="1" customWidth="1"/>
    <col min="14" max="14" width="19.296875" style="3" customWidth="1"/>
    <col min="15" max="15" width="28.5" style="3" customWidth="1"/>
    <col min="16" max="16" width="17.69921875" style="3" customWidth="1"/>
    <col min="17" max="16384" width="11.19921875" style="3"/>
  </cols>
  <sheetData>
    <row r="1" spans="1:13" x14ac:dyDescent="0.3">
      <c r="A1" s="10" t="s">
        <v>0</v>
      </c>
    </row>
    <row r="2" spans="1:13" x14ac:dyDescent="0.3">
      <c r="J2" s="3" t="s">
        <v>5</v>
      </c>
    </row>
    <row r="3" spans="1:13" x14ac:dyDescent="0.3">
      <c r="A3" s="3" t="s">
        <v>94</v>
      </c>
      <c r="B3" s="7" t="s">
        <v>1</v>
      </c>
      <c r="C3" s="8" t="s">
        <v>2</v>
      </c>
      <c r="D3" s="9" t="s">
        <v>3</v>
      </c>
      <c r="J3" s="3" t="s">
        <v>6</v>
      </c>
      <c r="K3" s="3" t="s">
        <v>7</v>
      </c>
      <c r="L3" s="3" t="s">
        <v>8</v>
      </c>
      <c r="M3" s="3" t="s">
        <v>108</v>
      </c>
    </row>
    <row r="4" spans="1:13" x14ac:dyDescent="0.3">
      <c r="A4" s="3" t="s">
        <v>95</v>
      </c>
      <c r="B4" s="7">
        <v>20000000</v>
      </c>
      <c r="C4" s="8">
        <v>45000000</v>
      </c>
      <c r="D4" s="9">
        <v>30000000</v>
      </c>
      <c r="J4" s="3" t="s">
        <v>9</v>
      </c>
      <c r="K4" s="3">
        <v>5</v>
      </c>
      <c r="L4" s="3" t="s">
        <v>10</v>
      </c>
      <c r="M4" s="3">
        <v>1</v>
      </c>
    </row>
    <row r="5" spans="1:13" x14ac:dyDescent="0.3">
      <c r="J5" s="3" t="s">
        <v>11</v>
      </c>
      <c r="K5" s="3">
        <v>13</v>
      </c>
      <c r="L5" s="3" t="s">
        <v>12</v>
      </c>
      <c r="M5" s="3">
        <v>1</v>
      </c>
    </row>
    <row r="6" spans="1:13" x14ac:dyDescent="0.3">
      <c r="J6" s="3" t="s">
        <v>13</v>
      </c>
      <c r="K6" s="3">
        <v>3</v>
      </c>
      <c r="L6" s="3" t="s">
        <v>14</v>
      </c>
      <c r="M6" s="3">
        <v>1</v>
      </c>
    </row>
    <row r="7" spans="1:13" x14ac:dyDescent="0.3">
      <c r="A7" s="10" t="s">
        <v>96</v>
      </c>
      <c r="J7" s="3" t="s">
        <v>15</v>
      </c>
      <c r="K7" s="3">
        <v>7</v>
      </c>
      <c r="L7" s="3" t="s">
        <v>16</v>
      </c>
      <c r="M7" s="3">
        <v>2</v>
      </c>
    </row>
    <row r="8" spans="1:13" x14ac:dyDescent="0.3">
      <c r="J8" s="3" t="s">
        <v>17</v>
      </c>
      <c r="K8" s="3">
        <v>6</v>
      </c>
      <c r="L8" s="3" t="s">
        <v>18</v>
      </c>
      <c r="M8" s="3">
        <v>2</v>
      </c>
    </row>
    <row r="9" spans="1:13" x14ac:dyDescent="0.3">
      <c r="A9" s="3" t="s">
        <v>4</v>
      </c>
      <c r="B9" s="3">
        <f>SUM(M4:M14)/K16</f>
        <v>3.6363636363636362</v>
      </c>
      <c r="D9" s="3">
        <v>3.6</v>
      </c>
      <c r="J9" s="3" t="s">
        <v>19</v>
      </c>
      <c r="K9" s="3">
        <v>1</v>
      </c>
      <c r="L9" s="3" t="s">
        <v>20</v>
      </c>
      <c r="M9" s="3">
        <v>4</v>
      </c>
    </row>
    <row r="10" spans="1:13" x14ac:dyDescent="0.3">
      <c r="J10" s="3" t="s">
        <v>19</v>
      </c>
      <c r="K10" s="3">
        <v>1</v>
      </c>
      <c r="L10" s="3" t="s">
        <v>21</v>
      </c>
      <c r="M10" s="3">
        <v>3</v>
      </c>
    </row>
    <row r="11" spans="1:13" x14ac:dyDescent="0.3">
      <c r="A11" s="3" t="s">
        <v>30</v>
      </c>
      <c r="B11" s="3">
        <f>SUM(K4:K14)/K16</f>
        <v>5.9090909090909092</v>
      </c>
      <c r="D11" s="3">
        <v>5.9</v>
      </c>
      <c r="J11" s="3" t="s">
        <v>22</v>
      </c>
      <c r="K11" s="3">
        <v>7</v>
      </c>
      <c r="L11" s="3" t="s">
        <v>25</v>
      </c>
      <c r="M11" s="3">
        <v>9</v>
      </c>
    </row>
    <row r="12" spans="1:13" x14ac:dyDescent="0.3">
      <c r="J12" s="3" t="s">
        <v>22</v>
      </c>
      <c r="K12" s="3">
        <v>7</v>
      </c>
      <c r="L12" s="3" t="s">
        <v>28</v>
      </c>
      <c r="M12" s="3">
        <v>6</v>
      </c>
    </row>
    <row r="13" spans="1:13" x14ac:dyDescent="0.3">
      <c r="J13" s="3" t="s">
        <v>23</v>
      </c>
      <c r="K13" s="3">
        <v>8</v>
      </c>
      <c r="L13" s="3" t="s">
        <v>27</v>
      </c>
      <c r="M13" s="3">
        <v>9</v>
      </c>
    </row>
    <row r="14" spans="1:13" x14ac:dyDescent="0.3">
      <c r="J14" s="3" t="s">
        <v>24</v>
      </c>
      <c r="K14" s="3">
        <v>7</v>
      </c>
      <c r="L14" s="3" t="s">
        <v>26</v>
      </c>
      <c r="M14" s="3">
        <v>2</v>
      </c>
    </row>
    <row r="15" spans="1:13" x14ac:dyDescent="0.3">
      <c r="A15" s="10" t="s">
        <v>77</v>
      </c>
    </row>
    <row r="16" spans="1:13" x14ac:dyDescent="0.3">
      <c r="A16" s="7" t="s">
        <v>31</v>
      </c>
      <c r="B16" s="7">
        <f>B4/220</f>
        <v>90909.090909090912</v>
      </c>
      <c r="C16" s="7">
        <v>90910</v>
      </c>
      <c r="J16" s="3" t="s">
        <v>29</v>
      </c>
      <c r="K16" s="3">
        <v>11</v>
      </c>
    </row>
    <row r="17" spans="1:3" x14ac:dyDescent="0.3">
      <c r="A17" s="8" t="s">
        <v>33</v>
      </c>
      <c r="B17" s="8">
        <f>C4/220</f>
        <v>204545.45454545456</v>
      </c>
      <c r="C17" s="8">
        <v>204546</v>
      </c>
    </row>
    <row r="18" spans="1:3" x14ac:dyDescent="0.3">
      <c r="A18" s="9" t="s">
        <v>34</v>
      </c>
      <c r="B18" s="9">
        <f>D4/220</f>
        <v>136363.63636363635</v>
      </c>
      <c r="C18" s="9">
        <v>136364</v>
      </c>
    </row>
    <row r="22" spans="1:3" x14ac:dyDescent="0.3">
      <c r="A22" s="10" t="s">
        <v>32</v>
      </c>
    </row>
    <row r="23" spans="1:3" x14ac:dyDescent="0.3">
      <c r="A23" s="7" t="s">
        <v>97</v>
      </c>
      <c r="B23" s="7">
        <f>2*(($D9+$D11)/30)*C16</f>
        <v>57576.333333333328</v>
      </c>
      <c r="C23" s="7">
        <v>57577</v>
      </c>
    </row>
    <row r="24" spans="1:3" x14ac:dyDescent="0.3">
      <c r="A24" s="8" t="s">
        <v>98</v>
      </c>
      <c r="B24" s="8">
        <f>2*((D9+D11)/30)*C17</f>
        <v>129545.79999999999</v>
      </c>
      <c r="C24" s="8">
        <v>129546</v>
      </c>
    </row>
    <row r="25" spans="1:3" x14ac:dyDescent="0.3">
      <c r="A25" s="9" t="s">
        <v>99</v>
      </c>
      <c r="B25" s="9">
        <f>2*((D9+D11)/30)*C18</f>
        <v>86363.866666666669</v>
      </c>
      <c r="C25" s="9">
        <v>86364</v>
      </c>
    </row>
    <row r="28" spans="1:3" x14ac:dyDescent="0.3">
      <c r="A28" s="10" t="s">
        <v>35</v>
      </c>
    </row>
    <row r="29" spans="1:3" x14ac:dyDescent="0.3">
      <c r="A29" s="7" t="s">
        <v>100</v>
      </c>
      <c r="B29" s="7">
        <f>C23*5</f>
        <v>287885</v>
      </c>
    </row>
    <row r="30" spans="1:3" x14ac:dyDescent="0.3">
      <c r="A30" s="8" t="s">
        <v>101</v>
      </c>
      <c r="B30" s="8">
        <f>C24*5</f>
        <v>647730</v>
      </c>
    </row>
    <row r="31" spans="1:3" x14ac:dyDescent="0.3">
      <c r="A31" s="9" t="s">
        <v>102</v>
      </c>
      <c r="B31" s="9">
        <f>C25*5</f>
        <v>431820</v>
      </c>
    </row>
    <row r="34" spans="1:15" x14ac:dyDescent="0.3">
      <c r="A34" s="10" t="s">
        <v>62</v>
      </c>
      <c r="C34" s="3" t="s">
        <v>39</v>
      </c>
      <c r="D34" s="3">
        <v>0.02</v>
      </c>
    </row>
    <row r="35" spans="1:15" x14ac:dyDescent="0.3">
      <c r="B35" s="4" t="s">
        <v>36</v>
      </c>
      <c r="H35" s="5" t="s">
        <v>37</v>
      </c>
      <c r="N35" s="6" t="s">
        <v>38</v>
      </c>
    </row>
    <row r="36" spans="1:15" x14ac:dyDescent="0.3">
      <c r="A36" s="23" t="s">
        <v>63</v>
      </c>
      <c r="B36" s="12">
        <f>C23/(1-$D$34)^3</f>
        <v>61174.553119873526</v>
      </c>
      <c r="C36" s="12">
        <v>61175</v>
      </c>
      <c r="H36" s="13">
        <f>B30/(1-D34)^3</f>
        <v>688201.76967080054</v>
      </c>
      <c r="I36" s="13">
        <v>688202</v>
      </c>
      <c r="N36" s="14">
        <f>B31/(1-D34)^3</f>
        <v>458801.17978053365</v>
      </c>
      <c r="O36" s="18">
        <v>458802</v>
      </c>
    </row>
    <row r="37" spans="1:15" x14ac:dyDescent="0.3">
      <c r="B37" s="12"/>
      <c r="H37" s="13"/>
      <c r="N37" s="14"/>
    </row>
    <row r="38" spans="1:15" x14ac:dyDescent="0.3">
      <c r="B38" s="12"/>
      <c r="H38" s="13"/>
      <c r="N38" s="14"/>
    </row>
    <row r="39" spans="1:15" x14ac:dyDescent="0.3">
      <c r="B39" s="12"/>
      <c r="H39" s="13"/>
      <c r="N39" s="15"/>
    </row>
    <row r="40" spans="1:15" x14ac:dyDescent="0.3">
      <c r="A40" s="11" t="s">
        <v>103</v>
      </c>
      <c r="B40" s="16">
        <f>SUM(C36)</f>
        <v>61175</v>
      </c>
      <c r="G40" s="11" t="s">
        <v>103</v>
      </c>
      <c r="H40" s="17">
        <f>SUM(I36)*2</f>
        <v>1376404</v>
      </c>
      <c r="I40" s="17" t="s">
        <v>46</v>
      </c>
      <c r="M40" s="11" t="s">
        <v>103</v>
      </c>
      <c r="N40" s="18">
        <f>SUM(O36)*2</f>
        <v>917604</v>
      </c>
      <c r="O40" s="18" t="s">
        <v>46</v>
      </c>
    </row>
    <row r="41" spans="1:15" x14ac:dyDescent="0.3">
      <c r="A41" s="11" t="s">
        <v>64</v>
      </c>
      <c r="B41" s="16">
        <f>B40*5</f>
        <v>305875</v>
      </c>
      <c r="G41" s="11" t="s">
        <v>64</v>
      </c>
      <c r="H41" s="17">
        <f>H40*5</f>
        <v>6882020</v>
      </c>
      <c r="I41" s="17" t="s">
        <v>46</v>
      </c>
      <c r="M41" s="11" t="s">
        <v>64</v>
      </c>
      <c r="N41" s="18">
        <f>N40*5</f>
        <v>4588020</v>
      </c>
      <c r="O41" s="18" t="s">
        <v>46</v>
      </c>
    </row>
    <row r="42" spans="1:15" x14ac:dyDescent="0.3">
      <c r="A42" s="11" t="s">
        <v>65</v>
      </c>
      <c r="B42" s="16">
        <f>SUM(C36)</f>
        <v>61175</v>
      </c>
      <c r="G42" s="11" t="s">
        <v>65</v>
      </c>
      <c r="H42" s="17">
        <f>SUM(I36)</f>
        <v>688202</v>
      </c>
      <c r="M42" s="11" t="s">
        <v>65</v>
      </c>
      <c r="N42" s="18">
        <f>SUM(O36)</f>
        <v>458802</v>
      </c>
    </row>
    <row r="43" spans="1:15" x14ac:dyDescent="0.3">
      <c r="A43" s="11" t="s">
        <v>66</v>
      </c>
      <c r="B43" s="16">
        <f>B42*5</f>
        <v>305875</v>
      </c>
      <c r="G43" s="11" t="s">
        <v>66</v>
      </c>
      <c r="H43" s="17">
        <f>H42*5</f>
        <v>3441010</v>
      </c>
      <c r="M43" s="11" t="s">
        <v>66</v>
      </c>
      <c r="N43" s="18">
        <f>N42*5</f>
        <v>2294010</v>
      </c>
    </row>
    <row r="44" spans="1:15" x14ac:dyDescent="0.3">
      <c r="A44" s="11" t="s">
        <v>67</v>
      </c>
      <c r="B44" s="16">
        <v>0</v>
      </c>
      <c r="G44" s="11" t="s">
        <v>67</v>
      </c>
      <c r="H44" s="17">
        <v>0</v>
      </c>
      <c r="M44" s="11" t="s">
        <v>67</v>
      </c>
      <c r="N44" s="18">
        <f>SUM(O36)</f>
        <v>458802</v>
      </c>
    </row>
    <row r="45" spans="1:15" x14ac:dyDescent="0.3">
      <c r="A45" s="11" t="s">
        <v>68</v>
      </c>
      <c r="B45" s="16">
        <v>0</v>
      </c>
      <c r="G45" s="11" t="s">
        <v>68</v>
      </c>
      <c r="H45" s="17">
        <v>0</v>
      </c>
      <c r="M45" s="11" t="s">
        <v>68</v>
      </c>
      <c r="N45" s="18">
        <f>N44*5</f>
        <v>2294010</v>
      </c>
    </row>
    <row r="46" spans="1:15" x14ac:dyDescent="0.3">
      <c r="A46" s="11"/>
      <c r="B46" s="16"/>
      <c r="G46" s="11"/>
      <c r="H46" s="17"/>
      <c r="M46" s="11"/>
      <c r="N46" s="18"/>
    </row>
    <row r="47" spans="1:15" x14ac:dyDescent="0.3">
      <c r="A47" s="11" t="s">
        <v>69</v>
      </c>
      <c r="B47" s="16">
        <f>2*B23/(1-D34)</f>
        <v>117502.72108843537</v>
      </c>
      <c r="C47" s="16">
        <v>117503</v>
      </c>
      <c r="G47" s="11" t="s">
        <v>69</v>
      </c>
      <c r="H47" s="17">
        <f>2*C24/(1-D34)</f>
        <v>264379.59183673467</v>
      </c>
      <c r="I47" s="17">
        <v>264380</v>
      </c>
      <c r="M47" s="11" t="s">
        <v>69</v>
      </c>
      <c r="N47" s="18">
        <f>2*B25/(1-D34)</f>
        <v>176252.78911564627</v>
      </c>
      <c r="O47" s="18">
        <v>176253</v>
      </c>
    </row>
    <row r="48" spans="1:15" x14ac:dyDescent="0.3">
      <c r="A48" s="11" t="s">
        <v>70</v>
      </c>
      <c r="B48" s="16">
        <f>B47*5</f>
        <v>587513.60544217681</v>
      </c>
      <c r="C48" s="16">
        <v>587514</v>
      </c>
      <c r="G48" s="11" t="s">
        <v>70</v>
      </c>
      <c r="H48" s="17">
        <f>H47*5</f>
        <v>1321897.9591836734</v>
      </c>
      <c r="I48" s="17">
        <v>1321898</v>
      </c>
      <c r="M48" s="11" t="s">
        <v>70</v>
      </c>
      <c r="N48" s="18">
        <f>N47*5</f>
        <v>881263.94557823136</v>
      </c>
      <c r="O48" s="18">
        <v>881264</v>
      </c>
    </row>
    <row r="49" spans="1:15" x14ac:dyDescent="0.3">
      <c r="A49" s="11"/>
      <c r="B49" s="16"/>
      <c r="G49" s="11"/>
      <c r="H49" s="17"/>
      <c r="M49" s="11"/>
      <c r="N49" s="18"/>
    </row>
    <row r="50" spans="1:15" x14ac:dyDescent="0.3">
      <c r="A50" s="11" t="s">
        <v>78</v>
      </c>
      <c r="B50" s="16">
        <f>B40</f>
        <v>61175</v>
      </c>
      <c r="G50" s="11" t="s">
        <v>78</v>
      </c>
      <c r="H50" s="17">
        <f>H42</f>
        <v>688202</v>
      </c>
      <c r="M50" s="11" t="s">
        <v>78</v>
      </c>
      <c r="N50" s="18">
        <f>N44</f>
        <v>458802</v>
      </c>
    </row>
    <row r="51" spans="1:15" x14ac:dyDescent="0.3">
      <c r="A51" s="11" t="s">
        <v>71</v>
      </c>
      <c r="B51" s="16">
        <f>B40*5</f>
        <v>305875</v>
      </c>
      <c r="G51" s="11" t="s">
        <v>71</v>
      </c>
      <c r="H51" s="17">
        <f>H42*5</f>
        <v>3441010</v>
      </c>
      <c r="M51" s="11" t="s">
        <v>71</v>
      </c>
      <c r="N51" s="18">
        <f>N42*5</f>
        <v>2294010</v>
      </c>
    </row>
    <row r="54" spans="1:15" x14ac:dyDescent="0.3">
      <c r="A54" s="11" t="s">
        <v>40</v>
      </c>
      <c r="B54" s="11">
        <v>500000</v>
      </c>
      <c r="C54" s="11"/>
      <c r="D54" s="11" t="s">
        <v>43</v>
      </c>
      <c r="E54" s="11">
        <v>175</v>
      </c>
    </row>
    <row r="55" spans="1:15" x14ac:dyDescent="0.3">
      <c r="A55" s="11" t="s">
        <v>41</v>
      </c>
      <c r="B55" s="11">
        <v>200000</v>
      </c>
      <c r="C55" s="11"/>
      <c r="D55" s="11" t="s">
        <v>44</v>
      </c>
      <c r="E55" s="11">
        <v>165</v>
      </c>
    </row>
    <row r="56" spans="1:15" x14ac:dyDescent="0.3">
      <c r="A56" s="11" t="s">
        <v>42</v>
      </c>
      <c r="B56" s="11">
        <v>100000</v>
      </c>
      <c r="C56" s="11"/>
      <c r="D56" s="11" t="s">
        <v>45</v>
      </c>
      <c r="E56" s="11">
        <v>120</v>
      </c>
    </row>
    <row r="58" spans="1:15" x14ac:dyDescent="0.3">
      <c r="A58" s="11" t="s">
        <v>72</v>
      </c>
      <c r="B58" s="12">
        <f>B41*E54/B54</f>
        <v>107.05625000000001</v>
      </c>
      <c r="C58" s="12">
        <v>108</v>
      </c>
      <c r="G58" s="11" t="s">
        <v>72</v>
      </c>
      <c r="H58" s="17">
        <f>H41*E54/B54</f>
        <v>2408.7069999999999</v>
      </c>
      <c r="I58" s="17">
        <v>2409</v>
      </c>
      <c r="M58" s="11" t="s">
        <v>72</v>
      </c>
      <c r="N58" s="18">
        <f>N41*E54/B54</f>
        <v>1605.807</v>
      </c>
      <c r="O58" s="18">
        <v>1606</v>
      </c>
    </row>
    <row r="59" spans="1:15" x14ac:dyDescent="0.3">
      <c r="A59" s="11" t="s">
        <v>73</v>
      </c>
      <c r="B59" s="12">
        <f>B43*E54/B54</f>
        <v>107.05625000000001</v>
      </c>
      <c r="C59" s="12">
        <v>108</v>
      </c>
      <c r="G59" s="11" t="s">
        <v>73</v>
      </c>
      <c r="H59" s="17">
        <f>H43*E54/B54</f>
        <v>1204.3534999999999</v>
      </c>
      <c r="I59" s="17">
        <v>1205</v>
      </c>
      <c r="M59" s="11" t="s">
        <v>73</v>
      </c>
      <c r="N59" s="18">
        <f>N43*E54/B54</f>
        <v>802.90350000000001</v>
      </c>
      <c r="O59" s="18">
        <v>803</v>
      </c>
    </row>
    <row r="60" spans="1:15" x14ac:dyDescent="0.3">
      <c r="A60" s="11" t="s">
        <v>74</v>
      </c>
      <c r="B60" s="12">
        <f>B48*E55/B55</f>
        <v>484.69872448979584</v>
      </c>
      <c r="C60" s="12">
        <v>485</v>
      </c>
      <c r="G60" s="11" t="s">
        <v>74</v>
      </c>
      <c r="H60" s="17">
        <f>H48*E55/B55</f>
        <v>1090.5658163265305</v>
      </c>
      <c r="I60" s="17">
        <v>1091</v>
      </c>
      <c r="M60" s="11" t="s">
        <v>74</v>
      </c>
      <c r="N60" s="18">
        <f>O48*E55/B55</f>
        <v>727.04280000000006</v>
      </c>
      <c r="O60" s="18">
        <v>727</v>
      </c>
    </row>
    <row r="61" spans="1:15" x14ac:dyDescent="0.3">
      <c r="A61" s="11" t="s">
        <v>75</v>
      </c>
      <c r="B61" s="12">
        <f>B51*E56/B56</f>
        <v>367.05</v>
      </c>
      <c r="C61" s="12">
        <v>368</v>
      </c>
      <c r="G61" s="11" t="s">
        <v>75</v>
      </c>
      <c r="H61" s="17">
        <f>H51*E56/B56</f>
        <v>4129.2120000000004</v>
      </c>
      <c r="I61" s="17">
        <v>4130</v>
      </c>
      <c r="M61" s="11" t="s">
        <v>75</v>
      </c>
      <c r="N61" s="18">
        <f>N51*E56/B56</f>
        <v>2752.8119999999999</v>
      </c>
      <c r="O61" s="18">
        <v>2753</v>
      </c>
    </row>
    <row r="62" spans="1:15" x14ac:dyDescent="0.3">
      <c r="A62" s="11" t="s">
        <v>76</v>
      </c>
      <c r="B62" s="16">
        <v>0</v>
      </c>
      <c r="C62" s="12">
        <v>0</v>
      </c>
      <c r="G62" s="11" t="s">
        <v>76</v>
      </c>
      <c r="H62" s="17">
        <v>0</v>
      </c>
      <c r="I62" s="17">
        <v>0</v>
      </c>
      <c r="M62" s="11" t="s">
        <v>76</v>
      </c>
      <c r="N62" s="18">
        <f>N45*E54/B54</f>
        <v>802.90350000000001</v>
      </c>
      <c r="O62" s="18">
        <v>803</v>
      </c>
    </row>
    <row r="63" spans="1:15" x14ac:dyDescent="0.3">
      <c r="A63" s="11"/>
      <c r="B63" s="16"/>
      <c r="G63" s="11"/>
      <c r="H63" s="17"/>
      <c r="I63" s="17"/>
      <c r="M63" s="11"/>
      <c r="N63" s="18"/>
      <c r="O63" s="18"/>
    </row>
    <row r="64" spans="1:15" x14ac:dyDescent="0.3">
      <c r="A64" s="11" t="s">
        <v>82</v>
      </c>
      <c r="B64" s="12">
        <f>B40*E54/B54</f>
        <v>21.411249999999999</v>
      </c>
      <c r="C64" s="12">
        <v>22</v>
      </c>
      <c r="G64" s="11" t="s">
        <v>82</v>
      </c>
      <c r="H64" s="17">
        <f>H40*E54/B54</f>
        <v>481.7414</v>
      </c>
      <c r="I64" s="17">
        <v>482</v>
      </c>
      <c r="M64" s="11" t="s">
        <v>82</v>
      </c>
      <c r="N64" s="18">
        <f>N40*E54/B54</f>
        <v>321.16140000000001</v>
      </c>
      <c r="O64" s="18">
        <v>322</v>
      </c>
    </row>
    <row r="65" spans="1:15" x14ac:dyDescent="0.3">
      <c r="A65" s="11" t="s">
        <v>83</v>
      </c>
      <c r="B65" s="12">
        <f>B42*E54/B54</f>
        <v>21.411249999999999</v>
      </c>
      <c r="C65" s="12">
        <v>22</v>
      </c>
      <c r="G65" s="11" t="s">
        <v>83</v>
      </c>
      <c r="H65" s="17">
        <f>H42*E54/B54</f>
        <v>240.8707</v>
      </c>
      <c r="I65" s="17">
        <v>241</v>
      </c>
      <c r="M65" s="11" t="s">
        <v>83</v>
      </c>
      <c r="N65" s="18">
        <f>N42*E54/B54</f>
        <v>160.58070000000001</v>
      </c>
      <c r="O65" s="18">
        <v>161</v>
      </c>
    </row>
    <row r="66" spans="1:15" x14ac:dyDescent="0.3">
      <c r="A66" s="11" t="s">
        <v>84</v>
      </c>
      <c r="B66" s="12">
        <f>C47*E55/B55</f>
        <v>96.939975000000004</v>
      </c>
      <c r="C66" s="12">
        <v>97</v>
      </c>
      <c r="G66" s="11" t="s">
        <v>84</v>
      </c>
      <c r="H66" s="17">
        <f>I47*E55/B55</f>
        <v>218.11349999999999</v>
      </c>
      <c r="I66" s="17">
        <v>219</v>
      </c>
      <c r="M66" s="11" t="s">
        <v>84</v>
      </c>
      <c r="N66" s="18">
        <f>O47*E55/B55</f>
        <v>145.408725</v>
      </c>
      <c r="O66" s="18">
        <v>146</v>
      </c>
    </row>
    <row r="67" spans="1:15" x14ac:dyDescent="0.3">
      <c r="A67" s="11" t="s">
        <v>85</v>
      </c>
      <c r="B67" s="12">
        <f>B50*E56/B56</f>
        <v>73.41</v>
      </c>
      <c r="C67" s="12">
        <v>74</v>
      </c>
      <c r="G67" s="11" t="s">
        <v>85</v>
      </c>
      <c r="H67" s="17">
        <f>H50*E56/B56</f>
        <v>825.8424</v>
      </c>
      <c r="I67" s="17">
        <v>826</v>
      </c>
      <c r="M67" s="11" t="s">
        <v>85</v>
      </c>
      <c r="N67" s="18">
        <f>N50*E56/B56</f>
        <v>550.56240000000003</v>
      </c>
      <c r="O67" s="18">
        <v>551</v>
      </c>
    </row>
    <row r="68" spans="1:15" x14ac:dyDescent="0.3">
      <c r="A68" s="11" t="s">
        <v>86</v>
      </c>
      <c r="B68" s="16">
        <v>0</v>
      </c>
      <c r="C68" s="12">
        <v>0</v>
      </c>
      <c r="G68" s="11" t="s">
        <v>86</v>
      </c>
      <c r="H68" s="17">
        <v>0</v>
      </c>
      <c r="I68" s="17">
        <v>0</v>
      </c>
      <c r="M68" s="11" t="s">
        <v>86</v>
      </c>
      <c r="N68" s="18">
        <f>N44*E54/B54</f>
        <v>160.58070000000001</v>
      </c>
      <c r="O68" s="18">
        <v>161</v>
      </c>
    </row>
    <row r="71" spans="1:15" x14ac:dyDescent="0.3">
      <c r="A71" s="19" t="s">
        <v>53</v>
      </c>
      <c r="B71" s="11" t="s">
        <v>50</v>
      </c>
      <c r="C71" s="11" t="s">
        <v>51</v>
      </c>
      <c r="D71" s="11" t="s">
        <v>52</v>
      </c>
      <c r="E71" s="11" t="s">
        <v>55</v>
      </c>
      <c r="F71" s="11" t="s">
        <v>61</v>
      </c>
    </row>
    <row r="72" spans="1:15" x14ac:dyDescent="0.3">
      <c r="A72" s="11" t="s">
        <v>49</v>
      </c>
      <c r="B72" s="11">
        <v>400</v>
      </c>
      <c r="C72" s="11">
        <v>400</v>
      </c>
      <c r="D72" s="11">
        <v>200</v>
      </c>
      <c r="E72" s="11">
        <f>B72*C72*D72</f>
        <v>32000000</v>
      </c>
      <c r="F72" s="11">
        <f>E72/10^9</f>
        <v>3.2000000000000001E-2</v>
      </c>
    </row>
    <row r="73" spans="1:15" x14ac:dyDescent="0.3">
      <c r="A73" s="11" t="s">
        <v>54</v>
      </c>
      <c r="B73" s="11">
        <v>200</v>
      </c>
      <c r="C73" s="11">
        <v>200</v>
      </c>
      <c r="D73" s="11">
        <v>100</v>
      </c>
      <c r="E73" s="11">
        <f>B73*C73*D73</f>
        <v>4000000</v>
      </c>
      <c r="F73" s="11">
        <f>E73/10^9</f>
        <v>4.0000000000000001E-3</v>
      </c>
    </row>
    <row r="74" spans="1:15" x14ac:dyDescent="0.3">
      <c r="A74" s="11" t="s">
        <v>58</v>
      </c>
      <c r="B74" s="11">
        <v>200</v>
      </c>
      <c r="C74" s="11">
        <v>200</v>
      </c>
      <c r="D74" s="11">
        <v>100</v>
      </c>
      <c r="E74" s="11">
        <f t="shared" ref="E74" si="0">B74*C74*D74</f>
        <v>4000000</v>
      </c>
      <c r="F74" s="11">
        <f t="shared" ref="F74" si="1">E74/10^9</f>
        <v>4.0000000000000001E-3</v>
      </c>
    </row>
    <row r="77" spans="1:15" x14ac:dyDescent="0.3">
      <c r="A77" s="19" t="s">
        <v>80</v>
      </c>
      <c r="B77" s="11"/>
      <c r="C77" s="11" t="s">
        <v>47</v>
      </c>
      <c r="D77" s="11" t="s">
        <v>47</v>
      </c>
      <c r="G77" s="19" t="s">
        <v>81</v>
      </c>
      <c r="H77" s="11"/>
      <c r="I77" s="11" t="s">
        <v>47</v>
      </c>
      <c r="J77" s="11" t="s">
        <v>47</v>
      </c>
    </row>
    <row r="78" spans="1:15" x14ac:dyDescent="0.3">
      <c r="A78" s="11" t="s">
        <v>48</v>
      </c>
      <c r="B78" s="11">
        <f>E72*(C58+I58+O58+O62+C59+I59+O59)</f>
        <v>225344000000</v>
      </c>
      <c r="C78" s="11">
        <f>B78/10^9</f>
        <v>225.34399999999999</v>
      </c>
      <c r="D78" s="11">
        <v>226</v>
      </c>
      <c r="G78" s="11" t="s">
        <v>48</v>
      </c>
      <c r="H78" s="11">
        <f>E72*(C64+C65+I64+I65+O64+O65+O68)</f>
        <v>45152000000</v>
      </c>
      <c r="I78" s="11">
        <f>H78/10^9</f>
        <v>45.152000000000001</v>
      </c>
      <c r="J78" s="11">
        <v>46</v>
      </c>
    </row>
    <row r="79" spans="1:15" x14ac:dyDescent="0.3">
      <c r="A79" s="11" t="s">
        <v>57</v>
      </c>
      <c r="B79" s="11">
        <f>E73*(C60+I60+O60)</f>
        <v>9212000000</v>
      </c>
      <c r="C79" s="11">
        <f>B79/10^9</f>
        <v>9.2119999999999997</v>
      </c>
      <c r="D79" s="11">
        <v>10</v>
      </c>
      <c r="G79" s="11" t="s">
        <v>57</v>
      </c>
      <c r="H79" s="11">
        <f>E73*(C66+I66+O66)</f>
        <v>1848000000</v>
      </c>
      <c r="I79" s="11">
        <f t="shared" ref="I79" si="2">H79/10^9</f>
        <v>1.8480000000000001</v>
      </c>
      <c r="J79" s="11">
        <v>2</v>
      </c>
    </row>
    <row r="80" spans="1:15" x14ac:dyDescent="0.3">
      <c r="A80" s="11" t="s">
        <v>56</v>
      </c>
      <c r="B80" s="11">
        <f>E74*(C61+I61+O61)</f>
        <v>29004000000</v>
      </c>
      <c r="C80" s="11">
        <f>B80/10^9</f>
        <v>29.004000000000001</v>
      </c>
      <c r="D80" s="11">
        <v>29</v>
      </c>
      <c r="G80" s="11" t="s">
        <v>56</v>
      </c>
      <c r="H80" s="11">
        <f>E74*(C67+I67+O67)</f>
        <v>5804000000</v>
      </c>
      <c r="I80" s="11">
        <f>H80/10^9</f>
        <v>5.8040000000000003</v>
      </c>
      <c r="J80" s="11">
        <v>6</v>
      </c>
    </row>
    <row r="81" spans="1:16" x14ac:dyDescent="0.3">
      <c r="A81" s="11" t="s">
        <v>91</v>
      </c>
      <c r="B81" s="11"/>
      <c r="C81" s="11"/>
      <c r="D81" s="11">
        <f>SUM(D78:D80)</f>
        <v>265</v>
      </c>
      <c r="G81" s="11" t="s">
        <v>90</v>
      </c>
      <c r="H81" s="11"/>
      <c r="I81" s="11"/>
      <c r="J81" s="11">
        <f>SUM(J78:J80)</f>
        <v>54</v>
      </c>
    </row>
    <row r="85" spans="1:16" x14ac:dyDescent="0.3">
      <c r="A85" s="10" t="s">
        <v>79</v>
      </c>
      <c r="G85" s="10" t="s">
        <v>104</v>
      </c>
      <c r="L85" s="10" t="s">
        <v>105</v>
      </c>
    </row>
    <row r="86" spans="1:16" x14ac:dyDescent="0.3">
      <c r="A86" s="7" t="s">
        <v>36</v>
      </c>
      <c r="B86" s="7">
        <f>B29/50</f>
        <v>5757.7</v>
      </c>
      <c r="C86" s="7">
        <v>5758</v>
      </c>
      <c r="G86" s="7" t="s">
        <v>36</v>
      </c>
      <c r="H86" s="7">
        <f>C23/50</f>
        <v>1151.54</v>
      </c>
      <c r="I86" s="7">
        <v>1152</v>
      </c>
      <c r="L86" s="21" t="s">
        <v>50</v>
      </c>
      <c r="M86" s="21" t="s">
        <v>51</v>
      </c>
      <c r="N86" s="21" t="s">
        <v>52</v>
      </c>
      <c r="O86" s="21" t="s">
        <v>55</v>
      </c>
      <c r="P86" s="21" t="s">
        <v>61</v>
      </c>
    </row>
    <row r="87" spans="1:16" x14ac:dyDescent="0.3">
      <c r="A87" s="8" t="s">
        <v>37</v>
      </c>
      <c r="B87" s="8">
        <f>B30/50</f>
        <v>12954.6</v>
      </c>
      <c r="C87" s="8">
        <v>12955</v>
      </c>
      <c r="G87" s="8" t="s">
        <v>37</v>
      </c>
      <c r="H87" s="8">
        <f t="shared" ref="H87:H88" si="3">C24/50</f>
        <v>2590.92</v>
      </c>
      <c r="I87" s="8">
        <v>2591</v>
      </c>
      <c r="L87" s="11">
        <v>200</v>
      </c>
      <c r="M87" s="11">
        <v>100</v>
      </c>
      <c r="N87" s="11">
        <v>100</v>
      </c>
      <c r="O87" s="11">
        <f>L87*M87*N87</f>
        <v>2000000</v>
      </c>
      <c r="P87" s="20">
        <f>O87/10^9</f>
        <v>2E-3</v>
      </c>
    </row>
    <row r="88" spans="1:16" x14ac:dyDescent="0.3">
      <c r="A88" s="9" t="s">
        <v>38</v>
      </c>
      <c r="B88" s="9">
        <f>B31/50</f>
        <v>8636.4</v>
      </c>
      <c r="C88" s="9">
        <v>8637</v>
      </c>
      <c r="G88" s="9" t="s">
        <v>38</v>
      </c>
      <c r="H88" s="9">
        <f t="shared" si="3"/>
        <v>1727.28</v>
      </c>
      <c r="I88" s="9">
        <v>1728</v>
      </c>
    </row>
    <row r="90" spans="1:16" x14ac:dyDescent="0.3">
      <c r="A90" s="10" t="s">
        <v>87</v>
      </c>
      <c r="C90" s="10" t="s">
        <v>61</v>
      </c>
      <c r="D90" s="10" t="s">
        <v>61</v>
      </c>
      <c r="G90" s="10" t="s">
        <v>92</v>
      </c>
      <c r="I90" s="10" t="s">
        <v>61</v>
      </c>
      <c r="J90" s="10" t="s">
        <v>61</v>
      </c>
    </row>
    <row r="91" spans="1:16" x14ac:dyDescent="0.3">
      <c r="A91" s="7" t="s">
        <v>88</v>
      </c>
      <c r="B91" s="7">
        <f>C86*O87</f>
        <v>11516000000</v>
      </c>
      <c r="C91" s="7">
        <f>B91/10^9</f>
        <v>11.516</v>
      </c>
      <c r="D91" s="7">
        <v>12</v>
      </c>
      <c r="G91" s="7" t="s">
        <v>59</v>
      </c>
      <c r="H91" s="7">
        <f>I86*O87</f>
        <v>2304000000</v>
      </c>
      <c r="I91" s="7">
        <f>H91/10^9</f>
        <v>2.3039999999999998</v>
      </c>
      <c r="J91" s="7">
        <v>3</v>
      </c>
    </row>
    <row r="92" spans="1:16" x14ac:dyDescent="0.3">
      <c r="A92" s="8" t="s">
        <v>109</v>
      </c>
      <c r="B92" s="8">
        <f>C87*O87</f>
        <v>25910000000</v>
      </c>
      <c r="C92" s="8">
        <f t="shared" ref="C92:C93" si="4">B92/10^9</f>
        <v>25.91</v>
      </c>
      <c r="D92" s="8">
        <v>26</v>
      </c>
      <c r="G92" s="8" t="s">
        <v>93</v>
      </c>
      <c r="H92" s="8">
        <f>I87*O87</f>
        <v>5182000000</v>
      </c>
      <c r="I92" s="8">
        <f t="shared" ref="I92:I93" si="5">H92/10^9</f>
        <v>5.1820000000000004</v>
      </c>
      <c r="J92" s="8">
        <v>6</v>
      </c>
    </row>
    <row r="93" spans="1:16" x14ac:dyDescent="0.3">
      <c r="A93" s="9" t="s">
        <v>89</v>
      </c>
      <c r="B93" s="9">
        <f>C88*O87</f>
        <v>17274000000</v>
      </c>
      <c r="C93" s="9">
        <f t="shared" si="4"/>
        <v>17.274000000000001</v>
      </c>
      <c r="D93" s="9">
        <v>18</v>
      </c>
      <c r="G93" s="9" t="s">
        <v>60</v>
      </c>
      <c r="H93" s="9">
        <f>I88*O87</f>
        <v>3456000000</v>
      </c>
      <c r="I93" s="9">
        <f t="shared" si="5"/>
        <v>3.456</v>
      </c>
      <c r="J93" s="9">
        <v>4</v>
      </c>
    </row>
    <row r="94" spans="1:16" x14ac:dyDescent="0.3">
      <c r="A94" s="22" t="s">
        <v>91</v>
      </c>
      <c r="D94" s="22">
        <f>SUM(D91:D93)</f>
        <v>56</v>
      </c>
      <c r="G94" s="22" t="s">
        <v>90</v>
      </c>
      <c r="J94" s="22">
        <f>SUM(J91:J93)</f>
        <v>13</v>
      </c>
    </row>
  </sheetData>
  <pageMargins left="0.7" right="0.7" top="0.75" bottom="0.75" header="0.3" footer="0.3"/>
  <ignoredErrors>
    <ignoredError sqref="H42 N42 N44 B42" formula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CDAA-C9A9-425C-820D-3B94F899B248}">
  <dimension ref="C2:O15"/>
  <sheetViews>
    <sheetView tabSelected="1" workbookViewId="0">
      <selection activeCell="E26" sqref="E26"/>
    </sheetView>
  </sheetViews>
  <sheetFormatPr defaultRowHeight="15.6" x14ac:dyDescent="0.3"/>
  <cols>
    <col min="3" max="3" width="32" bestFit="1" customWidth="1"/>
    <col min="4" max="4" width="8.796875" customWidth="1"/>
    <col min="5" max="5" width="32" bestFit="1" customWidth="1"/>
    <col min="6" max="6" width="13.8984375" bestFit="1" customWidth="1"/>
    <col min="7" max="7" width="16.3984375" bestFit="1" customWidth="1"/>
    <col min="8" max="8" width="14.59765625" bestFit="1" customWidth="1"/>
    <col min="9" max="9" width="17" customWidth="1"/>
    <col min="10" max="10" width="16.3984375" bestFit="1" customWidth="1"/>
  </cols>
  <sheetData>
    <row r="2" spans="3:15" x14ac:dyDescent="0.3">
      <c r="D2" s="1"/>
      <c r="E2" s="1"/>
      <c r="F2" s="1"/>
      <c r="G2" t="s">
        <v>111</v>
      </c>
      <c r="H2" s="26"/>
      <c r="I2" t="s">
        <v>112</v>
      </c>
    </row>
    <row r="3" spans="3:15" x14ac:dyDescent="0.3">
      <c r="D3" s="25"/>
      <c r="E3" s="25" t="s">
        <v>106</v>
      </c>
      <c r="F3" s="25" t="s">
        <v>110</v>
      </c>
      <c r="G3" s="36">
        <v>0</v>
      </c>
      <c r="H3" t="s">
        <v>113</v>
      </c>
      <c r="I3" s="36">
        <v>0</v>
      </c>
    </row>
    <row r="4" spans="3:15" x14ac:dyDescent="0.3">
      <c r="C4" s="27" t="s">
        <v>37</v>
      </c>
      <c r="D4" s="27"/>
      <c r="E4" s="27">
        <f>129546/15</f>
        <v>8636.4</v>
      </c>
      <c r="F4" s="27">
        <v>8637</v>
      </c>
      <c r="G4" s="28">
        <f>1/3</f>
        <v>0.33333333333333331</v>
      </c>
      <c r="H4" s="28">
        <f>F4/F7</f>
        <v>0.47367555116814741</v>
      </c>
      <c r="I4" s="28">
        <f>H4/H7</f>
        <v>0.47367555116814741</v>
      </c>
    </row>
    <row r="5" spans="3:15" x14ac:dyDescent="0.3">
      <c r="C5" s="29" t="s">
        <v>38</v>
      </c>
      <c r="D5" s="29"/>
      <c r="E5" s="29">
        <f>86364/15</f>
        <v>5757.6</v>
      </c>
      <c r="F5" s="29">
        <v>5758</v>
      </c>
      <c r="G5" s="30">
        <f>G4*2</f>
        <v>0.66666666666666663</v>
      </c>
      <c r="H5" s="30">
        <f>F5/F7</f>
        <v>0.31578370077876494</v>
      </c>
      <c r="I5" s="30">
        <f>I4+H5</f>
        <v>0.78945925194691235</v>
      </c>
    </row>
    <row r="6" spans="3:15" x14ac:dyDescent="0.3">
      <c r="C6" s="31" t="s">
        <v>36</v>
      </c>
      <c r="D6" s="31"/>
      <c r="E6" s="31">
        <f>57577/15</f>
        <v>3838.4666666666667</v>
      </c>
      <c r="F6" s="31">
        <v>3839</v>
      </c>
      <c r="G6" s="32">
        <f>G4*3</f>
        <v>1</v>
      </c>
      <c r="H6" s="32">
        <f>F6/F7</f>
        <v>0.21054074805308765</v>
      </c>
      <c r="I6" s="32">
        <f>I5+H6</f>
        <v>1</v>
      </c>
    </row>
    <row r="7" spans="3:15" x14ac:dyDescent="0.3">
      <c r="C7" s="33" t="s">
        <v>107</v>
      </c>
      <c r="D7" s="33"/>
      <c r="E7" s="33">
        <f>SUM(E4:E6)</f>
        <v>18232.466666666667</v>
      </c>
      <c r="F7" s="33">
        <f>SUM(F4:F6)</f>
        <v>18234</v>
      </c>
      <c r="G7" s="33"/>
      <c r="H7" s="34">
        <f>SUM(H4:H6)</f>
        <v>1</v>
      </c>
    </row>
    <row r="11" spans="3:15" x14ac:dyDescent="0.3">
      <c r="K11" s="35"/>
      <c r="L11" s="35"/>
      <c r="M11" s="35"/>
      <c r="N11" s="35"/>
    </row>
    <row r="12" spans="3:15" x14ac:dyDescent="0.3">
      <c r="O12" s="24"/>
    </row>
    <row r="13" spans="3:15" x14ac:dyDescent="0.3">
      <c r="O13" s="24"/>
    </row>
    <row r="14" spans="3:15" x14ac:dyDescent="0.3">
      <c r="O14" s="24"/>
    </row>
    <row r="15" spans="3:15" x14ac:dyDescent="0.3">
      <c r="O15" s="2"/>
    </row>
  </sheetData>
  <sortState xmlns:xlrd2="http://schemas.microsoft.com/office/spreadsheetml/2017/richdata2" ref="C4:H6">
    <sortCondition descending="1" ref="E4:E6"/>
  </sortState>
  <mergeCells count="1">
    <mergeCell ref="K11:N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Alessandro Colosi</cp:lastModifiedBy>
  <dcterms:created xsi:type="dcterms:W3CDTF">2021-10-13T13:53:28Z</dcterms:created>
  <dcterms:modified xsi:type="dcterms:W3CDTF">2021-10-15T14:50:40Z</dcterms:modified>
</cp:coreProperties>
</file>
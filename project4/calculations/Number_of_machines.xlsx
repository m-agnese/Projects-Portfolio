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/Documents/"/>
    </mc:Choice>
  </mc:AlternateContent>
  <xr:revisionPtr revIDLastSave="0" documentId="13_ncr:1_{25AEE89C-20BA-D84B-85C3-9B0FD3DB5921}" xr6:coauthVersionLast="47" xr6:coauthVersionMax="47" xr10:uidLastSave="{00000000-0000-0000-0000-000000000000}"/>
  <bookViews>
    <workbookView xWindow="0" yWindow="0" windowWidth="28800" windowHeight="18000" xr2:uid="{FB2EA24D-7D3E-C640-AD18-53505B5E1F80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" i="1" l="1"/>
  <c r="C49" i="1"/>
  <c r="C48" i="1"/>
  <c r="C47" i="1"/>
  <c r="B48" i="1"/>
  <c r="B50" i="1"/>
  <c r="B49" i="1"/>
  <c r="B47" i="1"/>
  <c r="F36" i="1"/>
  <c r="F29" i="1"/>
  <c r="F26" i="1"/>
  <c r="B26" i="1"/>
  <c r="B16" i="1"/>
  <c r="D29" i="1" s="1"/>
  <c r="B15" i="1"/>
  <c r="B14" i="1"/>
  <c r="B29" i="1"/>
  <c r="B43" i="1" s="1"/>
  <c r="N22" i="1"/>
  <c r="N23" i="1"/>
  <c r="N21" i="1"/>
  <c r="B42" i="1"/>
  <c r="B41" i="1"/>
  <c r="B40" i="1"/>
  <c r="B33" i="1"/>
  <c r="B28" i="1"/>
  <c r="B27" i="1"/>
  <c r="F43" i="1"/>
  <c r="F35" i="1"/>
  <c r="F34" i="1"/>
  <c r="F33" i="1"/>
  <c r="D36" i="1"/>
  <c r="D35" i="1"/>
  <c r="D34" i="1"/>
  <c r="D33" i="1"/>
  <c r="B36" i="1"/>
  <c r="B35" i="1"/>
  <c r="B34" i="1"/>
  <c r="H23" i="1"/>
  <c r="H22" i="1"/>
  <c r="H21" i="1"/>
  <c r="E23" i="1"/>
  <c r="E22" i="1"/>
  <c r="E21" i="1"/>
  <c r="B21" i="1"/>
  <c r="B22" i="1"/>
  <c r="B23" i="1"/>
  <c r="E14" i="1" l="1"/>
  <c r="F40" i="1"/>
  <c r="F27" i="1"/>
  <c r="F41" i="1" s="1"/>
  <c r="F28" i="1"/>
  <c r="F42" i="1" s="1"/>
  <c r="D43" i="1"/>
  <c r="D41" i="1"/>
  <c r="D27" i="1"/>
  <c r="D26" i="1"/>
  <c r="D40" i="1" s="1"/>
  <c r="D28" i="1"/>
  <c r="D42" i="1" s="1"/>
  <c r="I9" i="1"/>
  <c r="I10" i="1"/>
  <c r="B9" i="1"/>
  <c r="B10" i="1"/>
  <c r="D9" i="1" l="1"/>
  <c r="D10" i="1"/>
</calcChain>
</file>

<file path=xl/sharedStrings.xml><?xml version="1.0" encoding="utf-8"?>
<sst xmlns="http://schemas.openxmlformats.org/spreadsheetml/2006/main" count="75" uniqueCount="44">
  <si>
    <t>Tipo I</t>
  </si>
  <si>
    <t>Tipo II</t>
  </si>
  <si>
    <t>Tipo IIR</t>
  </si>
  <si>
    <t>Produzione richiesta settimanalmente [unità]</t>
  </si>
  <si>
    <t>Layout a isole</t>
  </si>
  <si>
    <t>Isola 1</t>
  </si>
  <si>
    <t>Isola 2</t>
  </si>
  <si>
    <t>Isola 1 (Tipo I e Tipo IIR)</t>
  </si>
  <si>
    <t>Isola 2 (Tipo II)</t>
  </si>
  <si>
    <t>Numero macchine</t>
  </si>
  <si>
    <t>Tempo effettivo [h]</t>
  </si>
  <si>
    <t>Numero di unità da lavorare al giorno</t>
  </si>
  <si>
    <t>Percentuale di produzione isole</t>
  </si>
  <si>
    <t>percentuale di produzione isola 1</t>
  </si>
  <si>
    <t>non lo stiamo usando</t>
  </si>
  <si>
    <t>Numero turni</t>
  </si>
  <si>
    <t>Tempo setup [h]</t>
  </si>
  <si>
    <t>[unità]</t>
  </si>
  <si>
    <t>Takt time gruppo svolgimento [minuti/unità]</t>
  </si>
  <si>
    <t>Numero di unità ribaltamento</t>
  </si>
  <si>
    <t>Takt time gruppo ribaltamento [minuti/unità]</t>
  </si>
  <si>
    <t>Takt time gruppo applicazione laccetti [minuti/unità]</t>
  </si>
  <si>
    <t>Numero di unità applicazione laccetti</t>
  </si>
  <si>
    <t>Numero di unità gruppo confezionamento</t>
  </si>
  <si>
    <t>[unità/giorno]</t>
  </si>
  <si>
    <t>Takt time gruppo confezionamento [minuti/unità]</t>
  </si>
  <si>
    <t xml:space="preserve">Tempo ciclo macchina </t>
  </si>
  <si>
    <t>Gruppo svolgimento [minuti/unità]</t>
  </si>
  <si>
    <t>Gruppo ribaltamento [minuti/unità]</t>
  </si>
  <si>
    <t>Gruppo applicazione laccetti [minuti/unità]</t>
  </si>
  <si>
    <t>Gruppo confezionamento [minuti/50 unità]</t>
  </si>
  <si>
    <t>Numero di macchine</t>
  </si>
  <si>
    <t xml:space="preserve">Gruppo svolgimento </t>
  </si>
  <si>
    <t xml:space="preserve">Gruppo ribaltamento </t>
  </si>
  <si>
    <t xml:space="preserve">Gruppo applicazione laccetti </t>
  </si>
  <si>
    <t xml:space="preserve">Gruppo confezionamento </t>
  </si>
  <si>
    <t>Isola 1-Tipo I</t>
  </si>
  <si>
    <t>Tempo effettivo Isola 1 [h]</t>
  </si>
  <si>
    <t>Isola 1-Tipo IIR</t>
  </si>
  <si>
    <t>Numero di scatole</t>
  </si>
  <si>
    <t>Turni</t>
  </si>
  <si>
    <t>inizio</t>
  </si>
  <si>
    <t>Fine</t>
  </si>
  <si>
    <t xml:space="preserve">Intervallo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</si>
</sst>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5" formatCode="#,##0.00000_ ;\-#,##0.00000\ "/>
    <numFmt numFmtId="166" formatCode="0.0"/>
    <numFmt numFmtId="167" formatCode="_-* #,##0.00\ _€_-;\-* #,##0.00\ _€_-;_-* &quot;-&quot;??\ _€_-;_-@_-"/>
    <numFmt numFmtId="169" formatCode="0.000"/>
    <numFmt numFmtId="170" formatCode="#,##0.000_ ;\-#,##0.000\ 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3" fontId="0" fillId="0" borderId="0" xfId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3" fontId="0" fillId="0" borderId="0" xfId="0" applyNumberFormat="1"/>
    <xf numFmtId="0" fontId="0" fillId="2" borderId="0" xfId="0" applyFill="1"/>
    <xf numFmtId="169" fontId="0" fillId="0" borderId="0" xfId="1" applyNumberFormat="1" applyFont="1"/>
    <xf numFmtId="170" fontId="0" fillId="0" borderId="0" xfId="1" applyNumberFormat="1" applyFont="1"/>
    <xf numFmtId="0" fontId="0" fillId="3" borderId="0" xfId="0" applyFill="1"/>
    <xf numFmtId="43" fontId="0" fillId="3" borderId="0" xfId="1" applyFont="1" applyFill="1"/>
    <xf numFmtId="43" fontId="0" fillId="0" borderId="0" xfId="1" applyFont="1" applyFill="1"/>
    <xf numFmtId="0" fontId="0" fillId="0" borderId="0" xfId="0" applyAlignment="1">
      <alignment wrapText="1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Foglio2!$B$8</c:f>
              <c:strCache>
                <c:ptCount val="1"/>
                <c:pt idx="0">
                  <c:v>Isola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Foglio2!$C$7:$D$7</c:f>
              <c:strCache>
                <c:ptCount val="2"/>
                <c:pt idx="0">
                  <c:v>inizio</c:v>
                </c:pt>
                <c:pt idx="1">
                  <c:v>Intervallo </c:v>
                </c:pt>
              </c:strCache>
            </c:strRef>
          </c:cat>
          <c:val>
            <c:numRef>
              <c:f>Foglio2!$C$8:$D$8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F-5548-8716-BDB0C0E8AF29}"/>
            </c:ext>
          </c:extLst>
        </c:ser>
        <c:ser>
          <c:idx val="1"/>
          <c:order val="1"/>
          <c:tx>
            <c:strRef>
              <c:f>Foglio2!$B$9</c:f>
              <c:strCache>
                <c:ptCount val="1"/>
                <c:pt idx="0">
                  <c:v>Isola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Foglio2!$C$7:$D$7</c:f>
              <c:strCache>
                <c:ptCount val="2"/>
                <c:pt idx="0">
                  <c:v>inizio</c:v>
                </c:pt>
                <c:pt idx="1">
                  <c:v>Intervallo </c:v>
                </c:pt>
              </c:strCache>
            </c:strRef>
          </c:cat>
          <c:val>
            <c:numRef>
              <c:f>Foglio2!$C$9:$D$9</c:f>
              <c:numCache>
                <c:formatCode>General</c:formatCode>
                <c:ptCount val="2"/>
                <c:pt idx="0">
                  <c:v>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1F-5548-8716-BDB0C0E8AF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7502480"/>
        <c:axId val="214361280"/>
      </c:barChart>
      <c:catAx>
        <c:axId val="217502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361280"/>
        <c:crosses val="autoZero"/>
        <c:auto val="1"/>
        <c:lblAlgn val="ctr"/>
        <c:lblOffset val="100"/>
        <c:noMultiLvlLbl val="0"/>
      </c:catAx>
      <c:valAx>
        <c:axId val="21436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750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781050</xdr:colOff>
      <xdr:row>4</xdr:row>
      <xdr:rowOff>165100</xdr:rowOff>
    </xdr:from>
    <xdr:to>
      <xdr:col>11</xdr:col>
      <xdr:colOff>400050</xdr:colOff>
      <xdr:row>18</xdr:row>
      <xdr:rowOff>50800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A4431130-D1A0-FB43-8FAD-AAE4E0777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5AA7-0C7E-C74B-BBB9-B2016997653B}">
  <dimension ref="A2:O63"/>
  <sheetViews>
    <sheetView tabSelected="1" topLeftCell="I2" zoomScale="114" workbookViewId="0">
      <selection activeCell="C51" sqref="C51"/>
    </sheetView>
  </sheetViews>
  <sheetFormatPr baseColWidth="10" defaultRowHeight="16" x14ac:dyDescent="0.2"/>
  <cols>
    <col min="1" max="1" width="44.1640625" customWidth="1"/>
    <col min="2" max="2" width="21" customWidth="1"/>
    <col min="3" max="3" width="11" customWidth="1"/>
    <col min="4" max="4" width="31.83203125" customWidth="1"/>
    <col min="5" max="5" width="16.1640625" customWidth="1"/>
    <col min="6" max="6" width="19.6640625" customWidth="1"/>
    <col min="7" max="7" width="34.1640625" customWidth="1"/>
    <col min="8" max="8" width="13" bestFit="1" customWidth="1"/>
    <col min="9" max="9" width="28.5" customWidth="1"/>
    <col min="10" max="10" width="36.6640625" customWidth="1"/>
    <col min="11" max="11" width="11.5" bestFit="1" customWidth="1"/>
  </cols>
  <sheetData>
    <row r="2" spans="1:15" x14ac:dyDescent="0.2">
      <c r="A2" s="6" t="s">
        <v>3</v>
      </c>
      <c r="B2" s="6"/>
    </row>
    <row r="3" spans="1:15" x14ac:dyDescent="0.2">
      <c r="A3" s="6" t="s">
        <v>0</v>
      </c>
      <c r="B3" s="6">
        <v>287885</v>
      </c>
    </row>
    <row r="4" spans="1:15" x14ac:dyDescent="0.2">
      <c r="A4" s="6" t="s">
        <v>1</v>
      </c>
      <c r="B4" s="6">
        <v>647730</v>
      </c>
      <c r="D4" t="s">
        <v>14</v>
      </c>
      <c r="O4" s="12"/>
    </row>
    <row r="5" spans="1:15" x14ac:dyDescent="0.2">
      <c r="A5" s="6" t="s">
        <v>2</v>
      </c>
      <c r="B5" s="6">
        <v>431820</v>
      </c>
    </row>
    <row r="8" spans="1:15" x14ac:dyDescent="0.2">
      <c r="A8" t="s">
        <v>4</v>
      </c>
      <c r="D8" t="s">
        <v>12</v>
      </c>
      <c r="E8" t="s">
        <v>15</v>
      </c>
      <c r="F8" t="s">
        <v>16</v>
      </c>
      <c r="I8" t="s">
        <v>13</v>
      </c>
      <c r="J8" t="s">
        <v>15</v>
      </c>
    </row>
    <row r="9" spans="1:15" x14ac:dyDescent="0.2">
      <c r="A9" t="s">
        <v>7</v>
      </c>
      <c r="B9" s="4">
        <f>B21+B23</f>
        <v>519977</v>
      </c>
      <c r="D9" s="3">
        <f>B9/(B9+B10)*100</f>
        <v>43.038076311539932</v>
      </c>
      <c r="E9">
        <v>10</v>
      </c>
      <c r="F9">
        <v>2</v>
      </c>
      <c r="H9" t="s">
        <v>0</v>
      </c>
      <c r="I9" s="3">
        <f>B21/(B21+B23)*100</f>
        <v>11.764943449421802</v>
      </c>
      <c r="J9">
        <v>1</v>
      </c>
    </row>
    <row r="10" spans="1:15" x14ac:dyDescent="0.2">
      <c r="A10" t="s">
        <v>8</v>
      </c>
      <c r="B10" s="5">
        <f>B22</f>
        <v>688202</v>
      </c>
      <c r="D10" s="3">
        <f>B10/(B9+B10)*100</f>
        <v>56.961923688460068</v>
      </c>
      <c r="E10">
        <v>10</v>
      </c>
      <c r="F10">
        <v>0</v>
      </c>
      <c r="H10" t="s">
        <v>2</v>
      </c>
      <c r="I10" s="3">
        <f>B23/(B23+B21)*100</f>
        <v>88.235056550578193</v>
      </c>
      <c r="J10">
        <v>9</v>
      </c>
    </row>
    <row r="13" spans="1:15" x14ac:dyDescent="0.2">
      <c r="A13" t="s">
        <v>10</v>
      </c>
      <c r="B13" s="1"/>
      <c r="C13" s="1"/>
      <c r="D13" s="1"/>
      <c r="E13" s="1"/>
      <c r="F13" s="1"/>
      <c r="G13" s="1"/>
    </row>
    <row r="14" spans="1:15" x14ac:dyDescent="0.2">
      <c r="A14" t="s">
        <v>36</v>
      </c>
      <c r="B14" s="1">
        <f>((J9*7.5)-1)*0.95</f>
        <v>6.1749999999999998</v>
      </c>
      <c r="C14" s="1"/>
      <c r="D14" s="1" t="s">
        <v>37</v>
      </c>
      <c r="E14" s="1">
        <f>B14+B15</f>
        <v>68.399999999999991</v>
      </c>
      <c r="F14" s="1"/>
      <c r="G14" s="1"/>
    </row>
    <row r="15" spans="1:15" x14ac:dyDescent="0.2">
      <c r="A15" t="s">
        <v>38</v>
      </c>
      <c r="B15" s="1">
        <f>((J10*7.5)-F9)*0.95</f>
        <v>62.224999999999994</v>
      </c>
      <c r="C15" s="1"/>
      <c r="D15" s="1"/>
      <c r="E15" s="1"/>
      <c r="F15" s="1"/>
      <c r="G15" s="1"/>
    </row>
    <row r="16" spans="1:15" x14ac:dyDescent="0.2">
      <c r="A16" t="s">
        <v>6</v>
      </c>
      <c r="B16" s="1">
        <f>((E10*7.5)-F10)*0.95</f>
        <v>71.25</v>
      </c>
      <c r="C16" s="1"/>
      <c r="D16" s="1"/>
      <c r="E16" s="1"/>
      <c r="F16" s="1"/>
      <c r="G16" s="1"/>
    </row>
    <row r="18" spans="1:14" x14ac:dyDescent="0.2">
      <c r="B18" s="1"/>
      <c r="C18" s="1"/>
      <c r="D18" s="1"/>
      <c r="E18" s="1"/>
      <c r="F18" s="1"/>
      <c r="G18" s="1"/>
    </row>
    <row r="19" spans="1:14" x14ac:dyDescent="0.2">
      <c r="B19" s="1"/>
      <c r="C19" s="1"/>
      <c r="D19" s="1"/>
      <c r="E19" s="1"/>
      <c r="F19" s="1"/>
      <c r="G19" s="1"/>
    </row>
    <row r="20" spans="1:14" x14ac:dyDescent="0.2">
      <c r="A20" t="s">
        <v>11</v>
      </c>
      <c r="B20" s="1" t="s">
        <v>24</v>
      </c>
      <c r="C20" s="1"/>
      <c r="D20" s="1" t="s">
        <v>19</v>
      </c>
      <c r="E20" s="1" t="s">
        <v>24</v>
      </c>
      <c r="F20" s="1"/>
      <c r="G20" s="1" t="s">
        <v>22</v>
      </c>
      <c r="H20" s="1" t="s">
        <v>24</v>
      </c>
      <c r="J20" s="1" t="s">
        <v>23</v>
      </c>
      <c r="K20" s="1" t="s">
        <v>24</v>
      </c>
      <c r="M20" s="1" t="s">
        <v>39</v>
      </c>
      <c r="N20" s="1" t="s">
        <v>17</v>
      </c>
    </row>
    <row r="21" spans="1:14" x14ac:dyDescent="0.2">
      <c r="A21" t="s">
        <v>0</v>
      </c>
      <c r="B21" s="1">
        <f>61175</f>
        <v>61175</v>
      </c>
      <c r="C21" s="1"/>
      <c r="D21" s="1" t="s">
        <v>0</v>
      </c>
      <c r="E21" s="1">
        <f>57577/(1-0.02)^2</f>
        <v>59951.062057476054</v>
      </c>
      <c r="F21" s="1"/>
      <c r="G21" s="1" t="s">
        <v>0</v>
      </c>
      <c r="H21" s="1">
        <f>117503/2</f>
        <v>58751.5</v>
      </c>
      <c r="J21" s="1" t="s">
        <v>0</v>
      </c>
      <c r="K21" s="1">
        <v>57577</v>
      </c>
      <c r="M21" s="1" t="s">
        <v>0</v>
      </c>
      <c r="N21" s="4">
        <f>K21/50</f>
        <v>1151.54</v>
      </c>
    </row>
    <row r="22" spans="1:14" x14ac:dyDescent="0.2">
      <c r="A22" t="s">
        <v>1</v>
      </c>
      <c r="B22" s="1">
        <f>688202</f>
        <v>688202</v>
      </c>
      <c r="C22" s="1"/>
      <c r="D22" s="1" t="s">
        <v>1</v>
      </c>
      <c r="E22" s="1">
        <f>129546/(1-0.02)^2</f>
        <v>134887.54685547689</v>
      </c>
      <c r="F22" s="1"/>
      <c r="G22" s="1" t="s">
        <v>1</v>
      </c>
      <c r="H22" s="1">
        <f>264380/2</f>
        <v>132190</v>
      </c>
      <c r="J22" s="1" t="s">
        <v>1</v>
      </c>
      <c r="K22" s="1">
        <v>129546</v>
      </c>
      <c r="M22" s="1" t="s">
        <v>1</v>
      </c>
      <c r="N22" s="4">
        <f t="shared" ref="N22:N23" si="0">K22/50</f>
        <v>2590.92</v>
      </c>
    </row>
    <row r="23" spans="1:14" x14ac:dyDescent="0.2">
      <c r="A23" t="s">
        <v>2</v>
      </c>
      <c r="B23" s="1">
        <f>458802</f>
        <v>458802</v>
      </c>
      <c r="C23" s="1"/>
      <c r="D23" s="1" t="s">
        <v>2</v>
      </c>
      <c r="E23" s="1">
        <f>86364/(1-0.02)^2</f>
        <v>89925.031236984592</v>
      </c>
      <c r="F23" s="1"/>
      <c r="G23" s="1" t="s">
        <v>2</v>
      </c>
      <c r="H23" s="1">
        <f>176253/2</f>
        <v>88126.5</v>
      </c>
      <c r="J23" s="1" t="s">
        <v>2</v>
      </c>
      <c r="K23" s="1">
        <v>86364</v>
      </c>
      <c r="M23" s="1" t="s">
        <v>2</v>
      </c>
      <c r="N23" s="4">
        <f t="shared" si="0"/>
        <v>1727.28</v>
      </c>
    </row>
    <row r="24" spans="1:14" x14ac:dyDescent="0.2">
      <c r="B24" s="1"/>
      <c r="C24" s="1"/>
      <c r="D24" s="1"/>
      <c r="E24" s="1"/>
      <c r="F24" s="1"/>
      <c r="G24" s="1"/>
    </row>
    <row r="25" spans="1:14" x14ac:dyDescent="0.2">
      <c r="B25" s="1" t="s">
        <v>0</v>
      </c>
      <c r="C25" s="1"/>
      <c r="D25" s="1" t="s">
        <v>1</v>
      </c>
      <c r="E25" s="1"/>
      <c r="F25" s="1" t="s">
        <v>2</v>
      </c>
      <c r="G25" s="1"/>
    </row>
    <row r="26" spans="1:14" x14ac:dyDescent="0.2">
      <c r="A26" t="s">
        <v>18</v>
      </c>
      <c r="B26" s="7">
        <f>B14/B21*60</f>
        <v>6.0563955864323653E-3</v>
      </c>
      <c r="C26" s="7"/>
      <c r="D26" s="7">
        <f>B16/B22*60</f>
        <v>6.211838965885016E-3</v>
      </c>
      <c r="E26" s="7"/>
      <c r="F26" s="7">
        <f>B15/B23*60</f>
        <v>8.1374972210234483E-3</v>
      </c>
      <c r="G26" s="1"/>
    </row>
    <row r="27" spans="1:14" x14ac:dyDescent="0.2">
      <c r="A27" t="s">
        <v>20</v>
      </c>
      <c r="B27" s="7">
        <f>B14/E21*60</f>
        <v>6.1800406412282679E-3</v>
      </c>
      <c r="C27" s="7"/>
      <c r="D27" s="7">
        <f>B16/E22*60</f>
        <v>3.1693066555509242E-2</v>
      </c>
      <c r="E27" s="7"/>
      <c r="F27" s="7">
        <f>B15/E23*60</f>
        <v>4.1517917187717093E-2</v>
      </c>
      <c r="G27" s="1"/>
      <c r="H27" s="1"/>
      <c r="J27" s="2"/>
      <c r="M27" s="1"/>
    </row>
    <row r="28" spans="1:14" x14ac:dyDescent="0.2">
      <c r="A28" t="s">
        <v>21</v>
      </c>
      <c r="B28" s="7">
        <f>B14/H21*60</f>
        <v>6.3062219688007964E-3</v>
      </c>
      <c r="C28" s="7"/>
      <c r="D28" s="7">
        <f>B16/H22*60</f>
        <v>3.2339813904228763E-2</v>
      </c>
      <c r="E28" s="7"/>
      <c r="F28" s="7">
        <f>B15/H23*60</f>
        <v>4.2365236336402781E-2</v>
      </c>
      <c r="G28" s="1"/>
    </row>
    <row r="29" spans="1:14" x14ac:dyDescent="0.2">
      <c r="A29" t="s">
        <v>25</v>
      </c>
      <c r="B29" s="8">
        <f>B14/N21*60</f>
        <v>0.32174305712350421</v>
      </c>
      <c r="C29" s="8"/>
      <c r="D29" s="8">
        <f>B16/N22*60</f>
        <v>1.6499930526608309</v>
      </c>
      <c r="E29" s="8"/>
      <c r="F29" s="8">
        <f>B15/N23*60</f>
        <v>2.1614908989856882</v>
      </c>
      <c r="G29" s="1"/>
    </row>
    <row r="30" spans="1:14" x14ac:dyDescent="0.2">
      <c r="B30" s="1"/>
      <c r="C30" s="1"/>
      <c r="D30" s="1"/>
      <c r="E30" s="1"/>
      <c r="F30" s="1"/>
      <c r="G30" s="1"/>
    </row>
    <row r="31" spans="1:14" x14ac:dyDescent="0.2">
      <c r="B31" s="1"/>
      <c r="C31" s="1"/>
      <c r="D31" s="1"/>
      <c r="E31" s="1"/>
      <c r="F31" s="1"/>
      <c r="G31" s="1"/>
    </row>
    <row r="32" spans="1:14" x14ac:dyDescent="0.2">
      <c r="A32" t="s">
        <v>26</v>
      </c>
      <c r="B32" s="1"/>
      <c r="C32" s="1"/>
      <c r="D32" s="1"/>
      <c r="E32" s="1"/>
      <c r="F32" s="1"/>
      <c r="G32" s="1"/>
    </row>
    <row r="33" spans="1:7" x14ac:dyDescent="0.2">
      <c r="A33" t="s">
        <v>27</v>
      </c>
      <c r="B33" s="8">
        <f>1/6000*60</f>
        <v>0.01</v>
      </c>
      <c r="C33" s="8"/>
      <c r="D33" s="8">
        <f>1/5500*60</f>
        <v>1.0909090909090908E-2</v>
      </c>
      <c r="E33" s="8"/>
      <c r="F33" s="8">
        <f>1/5000*60</f>
        <v>1.2E-2</v>
      </c>
      <c r="G33" s="1"/>
    </row>
    <row r="34" spans="1:7" x14ac:dyDescent="0.2">
      <c r="A34" t="s">
        <v>28</v>
      </c>
      <c r="B34" s="8">
        <f>1/7000*60</f>
        <v>8.5714285714285719E-3</v>
      </c>
      <c r="C34" s="8"/>
      <c r="D34" s="8">
        <f>1/6500*60</f>
        <v>9.2307692307692316E-3</v>
      </c>
      <c r="E34" s="8"/>
      <c r="F34" s="8">
        <f>1/6000*60</f>
        <v>0.01</v>
      </c>
      <c r="G34" s="1"/>
    </row>
    <row r="35" spans="1:7" x14ac:dyDescent="0.2">
      <c r="A35" t="s">
        <v>29</v>
      </c>
      <c r="B35" s="8">
        <f>1/5500*60</f>
        <v>1.0909090909090908E-2</v>
      </c>
      <c r="C35" s="8"/>
      <c r="D35" s="8">
        <f>1/5000*60</f>
        <v>1.2E-2</v>
      </c>
      <c r="E35" s="8"/>
      <c r="F35" s="8">
        <f>1/4500*60</f>
        <v>1.3333333333333334E-2</v>
      </c>
      <c r="G35" s="1"/>
    </row>
    <row r="36" spans="1:7" x14ac:dyDescent="0.2">
      <c r="A36" t="s">
        <v>30</v>
      </c>
      <c r="B36" s="8">
        <f>1/600*60</f>
        <v>0.1</v>
      </c>
      <c r="C36" s="8"/>
      <c r="D36" s="8">
        <f>1/600*60</f>
        <v>0.1</v>
      </c>
      <c r="E36" s="8"/>
      <c r="F36" s="8">
        <f>1/600*60</f>
        <v>0.1</v>
      </c>
      <c r="G36" s="1"/>
    </row>
    <row r="37" spans="1:7" x14ac:dyDescent="0.2">
      <c r="B37" s="1"/>
      <c r="C37" s="1"/>
      <c r="D37" s="1"/>
      <c r="E37" s="1"/>
      <c r="F37" s="1"/>
      <c r="G37" s="1"/>
    </row>
    <row r="38" spans="1:7" x14ac:dyDescent="0.2">
      <c r="B38" s="1"/>
      <c r="C38" s="1"/>
      <c r="D38" s="1"/>
      <c r="E38" s="1"/>
      <c r="F38" s="1"/>
      <c r="G38" s="1"/>
    </row>
    <row r="39" spans="1:7" x14ac:dyDescent="0.2">
      <c r="A39" t="s">
        <v>31</v>
      </c>
      <c r="B39" s="1"/>
      <c r="C39" s="1"/>
      <c r="D39" s="1"/>
      <c r="E39" s="1"/>
      <c r="F39" s="1"/>
      <c r="G39" s="1"/>
    </row>
    <row r="40" spans="1:7" x14ac:dyDescent="0.2">
      <c r="A40" t="s">
        <v>32</v>
      </c>
      <c r="B40" s="1">
        <f>B33/B26</f>
        <v>1.6511470985155199</v>
      </c>
      <c r="C40" s="1">
        <v>2</v>
      </c>
      <c r="D40" s="1">
        <f>D33/D26</f>
        <v>1.7561773524720892</v>
      </c>
      <c r="E40" s="10">
        <v>2</v>
      </c>
      <c r="F40" s="1">
        <f>F33/F26</f>
        <v>1.4746548814785054</v>
      </c>
      <c r="G40" s="10">
        <v>2</v>
      </c>
    </row>
    <row r="41" spans="1:7" x14ac:dyDescent="0.2">
      <c r="A41" t="s">
        <v>33</v>
      </c>
      <c r="B41" s="1">
        <f>B34/B27</f>
        <v>1.3869534310578613</v>
      </c>
      <c r="C41" s="10">
        <v>2</v>
      </c>
      <c r="D41" s="1">
        <f t="shared" ref="D41:D43" si="1">D34/D27</f>
        <v>0.29125516190116468</v>
      </c>
      <c r="E41" s="10">
        <v>1</v>
      </c>
      <c r="F41" s="1">
        <f>F34/F27</f>
        <v>0.24085986671215914</v>
      </c>
      <c r="G41" s="11">
        <v>1</v>
      </c>
    </row>
    <row r="42" spans="1:7" x14ac:dyDescent="0.2">
      <c r="A42" t="s">
        <v>34</v>
      </c>
      <c r="B42" s="1">
        <f>B35/B28</f>
        <v>1.7298932646301066</v>
      </c>
      <c r="C42" s="1">
        <v>2</v>
      </c>
      <c r="D42" s="1">
        <f t="shared" si="1"/>
        <v>0.37105964912280703</v>
      </c>
      <c r="E42" s="10">
        <v>1</v>
      </c>
      <c r="F42" s="1">
        <f>F35/F28</f>
        <v>0.31472344984598905</v>
      </c>
      <c r="G42" s="10">
        <v>2</v>
      </c>
    </row>
    <row r="43" spans="1:7" x14ac:dyDescent="0.2">
      <c r="A43" t="s">
        <v>35</v>
      </c>
      <c r="B43" s="1">
        <f>B36/B29</f>
        <v>0.31080701754385964</v>
      </c>
      <c r="C43" s="1">
        <v>1</v>
      </c>
      <c r="D43" s="1">
        <f t="shared" si="1"/>
        <v>6.0606315789473689E-2</v>
      </c>
      <c r="E43" s="10">
        <v>1</v>
      </c>
      <c r="F43" s="1">
        <f>F36/F29</f>
        <v>4.626436319807152E-2</v>
      </c>
      <c r="G43" s="10">
        <v>1</v>
      </c>
    </row>
    <row r="44" spans="1:7" x14ac:dyDescent="0.2">
      <c r="B44" s="1"/>
      <c r="C44" s="1"/>
      <c r="D44" s="1"/>
      <c r="E44" s="1"/>
      <c r="F44" s="1"/>
      <c r="G44" s="1"/>
    </row>
    <row r="45" spans="1:7" x14ac:dyDescent="0.2">
      <c r="B45" s="1"/>
      <c r="C45" s="1"/>
      <c r="D45" s="1"/>
      <c r="E45" s="1"/>
      <c r="F45" s="1"/>
      <c r="G45" s="1"/>
    </row>
    <row r="46" spans="1:7" x14ac:dyDescent="0.2">
      <c r="A46" s="9" t="s">
        <v>9</v>
      </c>
      <c r="B46" s="10" t="s">
        <v>5</v>
      </c>
      <c r="C46" s="10" t="s">
        <v>6</v>
      </c>
      <c r="D46" s="1"/>
      <c r="E46" s="1"/>
      <c r="F46" s="1"/>
      <c r="G46" s="1"/>
    </row>
    <row r="47" spans="1:7" x14ac:dyDescent="0.2">
      <c r="A47" s="9" t="s">
        <v>32</v>
      </c>
      <c r="B47" s="10">
        <f>G40</f>
        <v>2</v>
      </c>
      <c r="C47" s="10">
        <f>E40</f>
        <v>2</v>
      </c>
      <c r="D47" s="1"/>
      <c r="E47" s="1"/>
      <c r="F47" s="1"/>
      <c r="G47" s="1"/>
    </row>
    <row r="48" spans="1:7" x14ac:dyDescent="0.2">
      <c r="A48" s="9" t="s">
        <v>33</v>
      </c>
      <c r="B48" s="10">
        <f>C41</f>
        <v>2</v>
      </c>
      <c r="C48" s="10">
        <f>E41</f>
        <v>1</v>
      </c>
      <c r="D48" s="1"/>
      <c r="E48" s="1"/>
      <c r="F48" s="1"/>
      <c r="G48" s="1"/>
    </row>
    <row r="49" spans="1:7" x14ac:dyDescent="0.2">
      <c r="A49" s="9" t="s">
        <v>34</v>
      </c>
      <c r="B49" s="10">
        <f>G42</f>
        <v>2</v>
      </c>
      <c r="C49" s="10">
        <f>E42</f>
        <v>1</v>
      </c>
      <c r="D49" s="1"/>
      <c r="E49" s="1"/>
      <c r="F49" s="1"/>
      <c r="G49" s="1"/>
    </row>
    <row r="50" spans="1:7" x14ac:dyDescent="0.2">
      <c r="A50" s="9" t="s">
        <v>35</v>
      </c>
      <c r="B50" s="10">
        <f>G43</f>
        <v>1</v>
      </c>
      <c r="C50" s="10">
        <f>E43</f>
        <v>1</v>
      </c>
      <c r="D50" s="1"/>
      <c r="E50" s="1"/>
      <c r="F50" s="1"/>
      <c r="G50" s="1"/>
    </row>
    <row r="51" spans="1:7" x14ac:dyDescent="0.2">
      <c r="B51" s="1"/>
      <c r="C51" s="1"/>
      <c r="D51" s="1"/>
      <c r="E51" s="1"/>
      <c r="F51" s="1"/>
      <c r="G51" s="1"/>
    </row>
    <row r="52" spans="1:7" x14ac:dyDescent="0.2">
      <c r="B52" s="1"/>
      <c r="C52" s="1"/>
      <c r="D52" s="1"/>
      <c r="E52" s="1"/>
      <c r="F52" s="1"/>
      <c r="G52" s="1"/>
    </row>
    <row r="53" spans="1:7" x14ac:dyDescent="0.2">
      <c r="B53" s="1"/>
      <c r="C53" s="1"/>
      <c r="D53" s="1"/>
      <c r="E53" s="1"/>
      <c r="F53" s="1"/>
      <c r="G53" s="1"/>
    </row>
    <row r="54" spans="1:7" x14ac:dyDescent="0.2">
      <c r="B54" s="1"/>
      <c r="C54" s="1"/>
      <c r="D54" s="1"/>
      <c r="E54" s="1"/>
      <c r="F54" s="1"/>
      <c r="G54" s="1"/>
    </row>
    <row r="55" spans="1:7" x14ac:dyDescent="0.2">
      <c r="B55" s="1"/>
      <c r="C55" s="1"/>
      <c r="D55" s="1"/>
      <c r="E55" s="1"/>
      <c r="F55" s="1"/>
      <c r="G55" s="1"/>
    </row>
    <row r="56" spans="1:7" x14ac:dyDescent="0.2">
      <c r="B56" s="1"/>
      <c r="C56" s="1"/>
      <c r="D56" s="1"/>
      <c r="E56" s="1"/>
      <c r="F56" s="1"/>
      <c r="G56" s="1"/>
    </row>
    <row r="57" spans="1:7" x14ac:dyDescent="0.2">
      <c r="B57" s="1"/>
      <c r="C57" s="1"/>
      <c r="D57" s="1"/>
      <c r="E57" s="1"/>
      <c r="F57" s="1"/>
      <c r="G57" s="1"/>
    </row>
    <row r="58" spans="1:7" x14ac:dyDescent="0.2">
      <c r="B58" s="1"/>
      <c r="C58" s="1"/>
      <c r="D58" s="1"/>
      <c r="E58" s="1"/>
      <c r="F58" s="1"/>
      <c r="G58" s="1"/>
    </row>
    <row r="59" spans="1:7" x14ac:dyDescent="0.2">
      <c r="B59" s="1"/>
      <c r="C59" s="1"/>
      <c r="D59" s="1"/>
      <c r="E59" s="1"/>
      <c r="F59" s="1"/>
      <c r="G59" s="1"/>
    </row>
    <row r="60" spans="1:7" x14ac:dyDescent="0.2">
      <c r="B60" s="1"/>
      <c r="C60" s="1"/>
      <c r="D60" s="1"/>
      <c r="E60" s="1"/>
      <c r="F60" s="1"/>
      <c r="G60" s="1"/>
    </row>
    <row r="61" spans="1:7" x14ac:dyDescent="0.2">
      <c r="B61" s="1"/>
      <c r="C61" s="1"/>
      <c r="D61" s="1"/>
      <c r="E61" s="1"/>
      <c r="F61" s="1"/>
      <c r="G61" s="1"/>
    </row>
    <row r="62" spans="1:7" x14ac:dyDescent="0.2">
      <c r="B62" s="1"/>
      <c r="C62" s="1"/>
      <c r="D62" s="1"/>
      <c r="E62" s="1"/>
      <c r="F62" s="1"/>
      <c r="G62" s="1"/>
    </row>
    <row r="63" spans="1:7" x14ac:dyDescent="0.2">
      <c r="B63" s="1"/>
      <c r="C63" s="1"/>
      <c r="D63" s="1"/>
      <c r="E63" s="1"/>
      <c r="F63" s="1"/>
      <c r="G63" s="1"/>
    </row>
  </sheetData>
  <pageMargins left="0.7" right="0.7" top="0.75" bottom="0.75" header="0.3" footer="0.3"/>
  <ignoredErrors>
    <ignoredError sqref="B4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74C7-3917-5E47-BCBE-7263FCC57E90}">
  <dimension ref="B6:E9"/>
  <sheetViews>
    <sheetView workbookViewId="0">
      <selection activeCell="B7" sqref="B7:D9"/>
    </sheetView>
  </sheetViews>
  <sheetFormatPr baseColWidth="10" defaultRowHeight="16" x14ac:dyDescent="0.2"/>
  <sheetData>
    <row r="6" spans="2:5" x14ac:dyDescent="0.2">
      <c r="B6" t="s">
        <v>40</v>
      </c>
    </row>
    <row r="7" spans="2:5" x14ac:dyDescent="0.2">
      <c r="C7" t="s">
        <v>41</v>
      </c>
      <c r="D7" t="s">
        <v>43</v>
      </c>
      <c r="E7" t="s">
        <v>42</v>
      </c>
    </row>
    <row r="8" spans="2:5" ht="17" x14ac:dyDescent="0.2">
      <c r="B8" s="12" t="s">
        <v>5</v>
      </c>
      <c r="C8">
        <v>0</v>
      </c>
      <c r="D8">
        <v>4</v>
      </c>
      <c r="E8">
        <v>4</v>
      </c>
    </row>
    <row r="9" spans="2:5" x14ac:dyDescent="0.2">
      <c r="B9" t="s">
        <v>6</v>
      </c>
      <c r="C9">
        <v>4</v>
      </c>
      <c r="D9">
        <v>6</v>
      </c>
      <c r="E9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di Microsoft Office</dc:creator>
  <cp:lastModifiedBy>Utente di Microsoft Office</cp:lastModifiedBy>
  <dcterms:created xsi:type="dcterms:W3CDTF">2021-10-22T13:19:16Z</dcterms:created>
  <dcterms:modified xsi:type="dcterms:W3CDTF">2021-10-28T12:35:14Z</dcterms:modified>
</cp:coreProperties>
</file>
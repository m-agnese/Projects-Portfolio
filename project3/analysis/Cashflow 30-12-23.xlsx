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26"/>
  <workbookPr defaultThemeVersion="166925"/>
  <mc:AlternateContent xmlns:mc="http://schemas.openxmlformats.org/markup-compatibility/2006">
    <mc:Choice Requires="x15">
      <x15ac:absPath xmlns:x15ac="http://schemas.microsoft.com/office/spreadsheetml/2010/11/ac" url="https://d.docs.live.net/d795b8eec49b6b02/Project Management/Project to upload/"/>
    </mc:Choice>
  </mc:AlternateContent>
  <xr:revisionPtr revIDLastSave="361" documentId="13_ncr:1_{7FD543CA-0D35-4C12-876E-7F48F7687381}" xr6:coauthVersionLast="47" xr6:coauthVersionMax="47" xr10:uidLastSave="{6376AAA1-D324-4844-98A4-40A1E532B695}"/>
  <bookViews>
    <workbookView xWindow="-96" yWindow="-96" windowWidth="23232" windowHeight="12432" firstSheet="6" activeTab="6" xr2:uid="{373CD8D2-F2F9-4166-A0D9-668D0D83B2F4}"/>
  </bookViews>
  <sheets>
    <sheet name="CF" sheetId="7" state="hidden" r:id="rId1"/>
    <sheet name="Historical Financials" sheetId="2" r:id="rId2"/>
    <sheet name="Price Calculations, Assumptions" sheetId="3" r:id="rId3"/>
    <sheet name="Data from MS project" sheetId="6" r:id="rId4"/>
    <sheet name="CF (2)" sheetId="13" state="hidden" r:id="rId5"/>
    <sheet name="Cash flow" sheetId="14" r:id="rId6"/>
    <sheet name="Cash Flow graph" sheetId="16" r:id="rId7"/>
    <sheet name="Revenues" sheetId="12" r:id="rId8"/>
  </sheets>
  <definedNames>
    <definedName name="_xlnm._FilterDatabase" localSheetId="3" hidden="1">'Data from MS project'!$A$1:$D$183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14" l="1"/>
  <c r="E34" i="14"/>
  <c r="F34" i="14"/>
  <c r="G34" i="14"/>
  <c r="H34" i="14"/>
  <c r="I34" i="14"/>
  <c r="J34" i="14"/>
  <c r="K34" i="14"/>
  <c r="L34" i="14"/>
  <c r="M34" i="14"/>
  <c r="C34" i="14"/>
  <c r="E36" i="3"/>
  <c r="E32" i="3"/>
  <c r="E10" i="12"/>
  <c r="B56" i="14"/>
  <c r="C5" i="14"/>
  <c r="L6" i="12"/>
  <c r="I6" i="12"/>
  <c r="G6" i="12"/>
  <c r="F6" i="12"/>
  <c r="E6" i="12"/>
  <c r="C4" i="12"/>
  <c r="D4" i="12"/>
  <c r="E4" i="12"/>
  <c r="F4" i="12"/>
  <c r="G4" i="12"/>
  <c r="H4" i="12"/>
  <c r="I4" i="12"/>
  <c r="J4" i="12"/>
  <c r="K4" i="12"/>
  <c r="L4" i="12"/>
  <c r="M4" i="12"/>
  <c r="E29" i="6"/>
  <c r="E19" i="6"/>
  <c r="E15" i="6" s="1"/>
  <c r="E6" i="6"/>
  <c r="E3" i="6"/>
  <c r="E2" i="6" l="1"/>
  <c r="E8" i="3" l="1"/>
  <c r="L24" i="3"/>
  <c r="L23" i="3"/>
  <c r="G18" i="14" l="1"/>
  <c r="G16" i="14"/>
  <c r="H16" i="14"/>
  <c r="I16" i="14"/>
  <c r="J16" i="14"/>
  <c r="K16" i="14"/>
  <c r="L16" i="14"/>
  <c r="M16" i="14"/>
  <c r="F16" i="14"/>
  <c r="E16" i="14"/>
  <c r="B53" i="14"/>
  <c r="B48" i="3"/>
  <c r="B49" i="3" s="1"/>
  <c r="E15" i="14"/>
  <c r="D22" i="3"/>
  <c r="D21" i="3"/>
  <c r="D15" i="14"/>
  <c r="C23" i="3"/>
  <c r="C29" i="3" s="1"/>
  <c r="C30" i="3" s="1"/>
  <c r="B23" i="3"/>
  <c r="B29" i="3" s="1"/>
  <c r="C22" i="3"/>
  <c r="B22" i="3"/>
  <c r="C21" i="3"/>
  <c r="B21" i="3"/>
  <c r="D12" i="3"/>
  <c r="G17" i="14" l="1"/>
  <c r="G19" i="14" s="1"/>
  <c r="H18" i="14"/>
  <c r="H17" i="14" s="1"/>
  <c r="H19" i="14" s="1"/>
  <c r="F18" i="14"/>
  <c r="F17" i="14" s="1"/>
  <c r="F19" i="14" s="1"/>
  <c r="M18" i="14"/>
  <c r="M17" i="14" s="1"/>
  <c r="M19" i="14" s="1"/>
  <c r="J18" i="14"/>
  <c r="J17" i="14" s="1"/>
  <c r="J19" i="14" s="1"/>
  <c r="L18" i="14"/>
  <c r="L17" i="14" s="1"/>
  <c r="L19" i="14" s="1"/>
  <c r="I18" i="14"/>
  <c r="I17" i="14" s="1"/>
  <c r="I19" i="14" s="1"/>
  <c r="K18" i="14"/>
  <c r="K17" i="14" s="1"/>
  <c r="K19" i="14" s="1"/>
  <c r="E18" i="14"/>
  <c r="E17" i="14" s="1"/>
  <c r="E23" i="3"/>
  <c r="D29" i="3" s="1"/>
  <c r="C30" i="14"/>
  <c r="C29" i="14"/>
  <c r="C28" i="14"/>
  <c r="H6" i="12" l="1"/>
  <c r="J6" i="12" s="1"/>
  <c r="K6" i="12" s="1"/>
  <c r="M6" i="12" s="1"/>
  <c r="E7" i="12"/>
  <c r="B51" i="14"/>
  <c r="E14" i="14"/>
  <c r="D14" i="14"/>
  <c r="D37" i="13"/>
  <c r="B12" i="13"/>
  <c r="C12" i="13"/>
  <c r="D12" i="13"/>
  <c r="E12" i="13"/>
  <c r="F12" i="13"/>
  <c r="G12" i="13"/>
  <c r="H12" i="13"/>
  <c r="I12" i="13"/>
  <c r="J12" i="13"/>
  <c r="K12" i="13"/>
  <c r="L12" i="13"/>
  <c r="M12" i="13"/>
  <c r="N12" i="13"/>
  <c r="O12" i="13"/>
  <c r="P12" i="13"/>
  <c r="Q12" i="13"/>
  <c r="R12" i="13"/>
  <c r="S12" i="13"/>
  <c r="U13" i="13"/>
  <c r="V13" i="13"/>
  <c r="W13" i="13"/>
  <c r="X13" i="13"/>
  <c r="Y13" i="13"/>
  <c r="T14" i="13"/>
  <c r="U14" i="13"/>
  <c r="V14" i="13"/>
  <c r="W14" i="13"/>
  <c r="X14" i="13"/>
  <c r="U15" i="13"/>
  <c r="V15" i="13"/>
  <c r="W15" i="13"/>
  <c r="U16" i="13"/>
  <c r="V16" i="13"/>
  <c r="W16" i="13"/>
  <c r="X16" i="13"/>
  <c r="Y16" i="13"/>
  <c r="V17" i="13"/>
  <c r="W17" i="13"/>
  <c r="X17" i="13"/>
  <c r="Y17" i="13"/>
  <c r="Z17" i="13"/>
  <c r="T18" i="13"/>
  <c r="U18" i="13"/>
  <c r="V18" i="13"/>
  <c r="W18" i="13"/>
  <c r="X18" i="13"/>
  <c r="T19" i="13"/>
  <c r="U19" i="13"/>
  <c r="V19" i="13"/>
  <c r="W20" i="13"/>
  <c r="X20" i="13"/>
  <c r="Y20" i="13"/>
  <c r="X21" i="13"/>
  <c r="Y21" i="13"/>
  <c r="Z21" i="13"/>
  <c r="AA21" i="13"/>
  <c r="AB21" i="13"/>
  <c r="Y22" i="13"/>
  <c r="Z22" i="13"/>
  <c r="AA22" i="13"/>
  <c r="X23" i="13"/>
  <c r="Y23" i="13"/>
  <c r="Z23" i="13"/>
  <c r="AA23" i="13"/>
  <c r="AB23" i="13"/>
  <c r="AB24" i="13"/>
  <c r="AC24" i="13"/>
  <c r="AC12" i="13" s="1"/>
  <c r="AD24" i="13"/>
  <c r="AD12" i="13" s="1"/>
  <c r="B33" i="13"/>
  <c r="B37" i="13" s="1"/>
  <c r="J34" i="13"/>
  <c r="J37" i="13" s="1"/>
  <c r="K34" i="13"/>
  <c r="K35" i="13"/>
  <c r="N35" i="13"/>
  <c r="N37" i="13" s="1"/>
  <c r="O35" i="13"/>
  <c r="O37" i="13" s="1"/>
  <c r="P35" i="13"/>
  <c r="P37" i="13" s="1"/>
  <c r="Q35" i="13"/>
  <c r="Q36" i="13"/>
  <c r="S36" i="13"/>
  <c r="S37" i="13" s="1"/>
  <c r="C37" i="13"/>
  <c r="E37" i="13"/>
  <c r="F37" i="13"/>
  <c r="G37" i="13"/>
  <c r="H37" i="13"/>
  <c r="I37" i="13"/>
  <c r="L37" i="13"/>
  <c r="M37" i="13"/>
  <c r="R37" i="13"/>
  <c r="T37" i="13"/>
  <c r="U37" i="13"/>
  <c r="V37" i="13"/>
  <c r="W37" i="13"/>
  <c r="X37" i="13"/>
  <c r="Y37" i="13"/>
  <c r="Z37" i="13"/>
  <c r="AA37" i="13"/>
  <c r="AB37" i="13"/>
  <c r="AC37" i="13"/>
  <c r="AD37" i="13"/>
  <c r="B19" i="7"/>
  <c r="B4" i="12"/>
  <c r="B7" i="12" s="1"/>
  <c r="AD15" i="7"/>
  <c r="AC15" i="7"/>
  <c r="AB15" i="7"/>
  <c r="AA15" i="7"/>
  <c r="Z15" i="7"/>
  <c r="Y15" i="7"/>
  <c r="X15" i="7"/>
  <c r="W15" i="7"/>
  <c r="V15" i="7"/>
  <c r="U15" i="7"/>
  <c r="T15" i="7"/>
  <c r="R15" i="7"/>
  <c r="M15" i="7"/>
  <c r="L15" i="7"/>
  <c r="I15" i="7"/>
  <c r="H15" i="7"/>
  <c r="G15" i="7"/>
  <c r="F15" i="7"/>
  <c r="E15" i="7"/>
  <c r="D15" i="7"/>
  <c r="C15" i="7"/>
  <c r="B10" i="12"/>
  <c r="L5" i="12"/>
  <c r="K5" i="12"/>
  <c r="J5" i="12"/>
  <c r="I5" i="12"/>
  <c r="H5" i="12"/>
  <c r="G5" i="12"/>
  <c r="F5" i="12"/>
  <c r="E5" i="12"/>
  <c r="D5" i="12"/>
  <c r="N13" i="7"/>
  <c r="N15" i="7" s="1"/>
  <c r="O13" i="7"/>
  <c r="O15" i="7" s="1"/>
  <c r="Q13" i="7"/>
  <c r="P13" i="7"/>
  <c r="P15" i="7" s="1"/>
  <c r="K13" i="7"/>
  <c r="C12" i="3"/>
  <c r="B12" i="3"/>
  <c r="C19" i="7"/>
  <c r="D19" i="7"/>
  <c r="E19" i="7"/>
  <c r="F19" i="7"/>
  <c r="G19" i="7"/>
  <c r="H19" i="7"/>
  <c r="I19" i="7"/>
  <c r="J19" i="7"/>
  <c r="K19" i="7"/>
  <c r="L19" i="7"/>
  <c r="M19" i="7"/>
  <c r="N19" i="7"/>
  <c r="O19" i="7"/>
  <c r="P19" i="7"/>
  <c r="Q19" i="7"/>
  <c r="R19" i="7"/>
  <c r="S19" i="7"/>
  <c r="AC31" i="7"/>
  <c r="AC19" i="7" s="1"/>
  <c r="AD31" i="7"/>
  <c r="AD19" i="7" s="1"/>
  <c r="AB31" i="7"/>
  <c r="Y28" i="7"/>
  <c r="Z28" i="7"/>
  <c r="AA28" i="7"/>
  <c r="AB28" i="7"/>
  <c r="X28" i="7"/>
  <c r="X27" i="7"/>
  <c r="Y27" i="7"/>
  <c r="W27" i="7"/>
  <c r="AA29" i="7"/>
  <c r="Z29" i="7"/>
  <c r="Y29" i="7"/>
  <c r="U26" i="7"/>
  <c r="V26" i="7"/>
  <c r="T26" i="7"/>
  <c r="U25" i="7"/>
  <c r="V25" i="7"/>
  <c r="W25" i="7"/>
  <c r="X25" i="7"/>
  <c r="T25" i="7"/>
  <c r="AB30" i="7"/>
  <c r="AA30" i="7"/>
  <c r="Z30" i="7"/>
  <c r="Y30" i="7"/>
  <c r="X30" i="7"/>
  <c r="W24" i="7"/>
  <c r="X24" i="7"/>
  <c r="Y24" i="7"/>
  <c r="Z24" i="7"/>
  <c r="V24" i="7"/>
  <c r="V23" i="7"/>
  <c r="W23" i="7"/>
  <c r="X23" i="7"/>
  <c r="Y23" i="7"/>
  <c r="U23" i="7"/>
  <c r="V22" i="7"/>
  <c r="W22" i="7"/>
  <c r="U22" i="7"/>
  <c r="U21" i="7"/>
  <c r="V21" i="7"/>
  <c r="W21" i="7"/>
  <c r="X21" i="7"/>
  <c r="T21" i="7"/>
  <c r="V20" i="7"/>
  <c r="W20" i="7"/>
  <c r="X20" i="7"/>
  <c r="Y20" i="7"/>
  <c r="U20" i="7"/>
  <c r="K12" i="7"/>
  <c r="J12" i="7"/>
  <c r="J15" i="7" s="1"/>
  <c r="B11" i="7"/>
  <c r="B15" i="7" s="1"/>
  <c r="Q14" i="7"/>
  <c r="S14" i="7"/>
  <c r="S15" i="7" s="1"/>
  <c r="D10" i="3"/>
  <c r="C13" i="3"/>
  <c r="B13" i="3"/>
  <c r="C7" i="3"/>
  <c r="B7" i="3"/>
  <c r="D13" i="3"/>
  <c r="C11" i="3"/>
  <c r="B11" i="3"/>
  <c r="C10" i="3"/>
  <c r="B10" i="3"/>
  <c r="D11" i="3"/>
  <c r="C15" i="3"/>
  <c r="C28" i="3" s="1"/>
  <c r="B15" i="3"/>
  <c r="B28" i="3" s="1"/>
  <c r="B30" i="3" s="1"/>
  <c r="J4" i="2"/>
  <c r="J5" i="2"/>
  <c r="J6" i="2"/>
  <c r="H7" i="2"/>
  <c r="I7" i="2"/>
  <c r="J8" i="2"/>
  <c r="J9" i="2"/>
  <c r="H10" i="2"/>
  <c r="I10" i="2"/>
  <c r="E3" i="2"/>
  <c r="E4" i="2"/>
  <c r="E5" i="2"/>
  <c r="E6" i="2"/>
  <c r="E7" i="2"/>
  <c r="E8" i="2"/>
  <c r="E9" i="2"/>
  <c r="E12" i="2"/>
  <c r="D13" i="2"/>
  <c r="C13" i="2"/>
  <c r="M5" i="12" l="1"/>
  <c r="M7" i="12"/>
  <c r="J12" i="3"/>
  <c r="J13" i="3" s="1"/>
  <c r="D28" i="3"/>
  <c r="C5" i="12"/>
  <c r="B62" i="14"/>
  <c r="B63" i="14" s="1"/>
  <c r="B64" i="14" s="1"/>
  <c r="E14" i="3"/>
  <c r="D34" i="3" s="1"/>
  <c r="E15" i="3"/>
  <c r="K37" i="13"/>
  <c r="K15" i="7"/>
  <c r="AB12" i="13"/>
  <c r="Z12" i="13"/>
  <c r="AA12" i="13"/>
  <c r="T12" i="13"/>
  <c r="W12" i="13"/>
  <c r="Y12" i="13"/>
  <c r="Q37" i="13"/>
  <c r="X12" i="13"/>
  <c r="V12" i="13"/>
  <c r="U12" i="13"/>
  <c r="Q15" i="7"/>
  <c r="J10" i="2"/>
  <c r="B5" i="12"/>
  <c r="B8" i="12" s="1"/>
  <c r="B9" i="12" s="1"/>
  <c r="B11" i="12" s="1"/>
  <c r="T19" i="7"/>
  <c r="V19" i="7"/>
  <c r="Z19" i="7"/>
  <c r="W19" i="7"/>
  <c r="U19" i="7"/>
  <c r="Y19" i="7"/>
  <c r="X19" i="7"/>
  <c r="AB19" i="7"/>
  <c r="AA19" i="7"/>
  <c r="H11" i="2"/>
  <c r="I11" i="2"/>
  <c r="J7" i="2"/>
  <c r="C9" i="12" l="1"/>
  <c r="C11" i="12" s="1"/>
  <c r="J14" i="3"/>
  <c r="E30" i="3"/>
  <c r="C13" i="14"/>
  <c r="C19" i="14" s="1"/>
  <c r="D13" i="14"/>
  <c r="D19" i="14" s="1"/>
  <c r="E13" i="14"/>
  <c r="E19" i="14" s="1"/>
  <c r="B5" i="13"/>
  <c r="C5" i="13"/>
  <c r="F5" i="13"/>
  <c r="O5" i="13"/>
  <c r="E5" i="13"/>
  <c r="H5" i="13"/>
  <c r="I5" i="13"/>
  <c r="L5" i="13"/>
  <c r="J5" i="13"/>
  <c r="M5" i="13"/>
  <c r="E5" i="7"/>
  <c r="M5" i="7"/>
  <c r="N5" i="7"/>
  <c r="F5" i="7"/>
  <c r="G5" i="7"/>
  <c r="O5" i="7"/>
  <c r="H5" i="7"/>
  <c r="D5" i="7"/>
  <c r="I5" i="7"/>
  <c r="K5" i="7"/>
  <c r="J5" i="7"/>
  <c r="L5" i="7"/>
  <c r="B12" i="12"/>
  <c r="C5" i="7"/>
  <c r="B5" i="7"/>
  <c r="J11" i="2"/>
  <c r="D9" i="12"/>
  <c r="G5" i="13" l="1"/>
  <c r="D5" i="13"/>
  <c r="K5" i="13"/>
  <c r="N5" i="13"/>
  <c r="C12" i="12"/>
  <c r="C6" i="14"/>
  <c r="C9" i="14" s="1"/>
  <c r="C21" i="14" s="1"/>
  <c r="C23" i="14" s="1"/>
  <c r="E8" i="12"/>
  <c r="E9" i="12" l="1"/>
  <c r="C24" i="14"/>
  <c r="C25" i="14" s="1"/>
  <c r="V5" i="13"/>
  <c r="W5" i="13"/>
  <c r="P5" i="13"/>
  <c r="X5" i="13"/>
  <c r="Q5" i="13"/>
  <c r="Y5" i="13"/>
  <c r="AA5" i="13"/>
  <c r="U5" i="13"/>
  <c r="R5" i="13"/>
  <c r="Z5" i="13"/>
  <c r="S5" i="13"/>
  <c r="T5" i="13"/>
  <c r="D11" i="12"/>
  <c r="U5" i="7"/>
  <c r="V5" i="7"/>
  <c r="W5" i="7"/>
  <c r="X5" i="7"/>
  <c r="AA5" i="7"/>
  <c r="Q5" i="7"/>
  <c r="Y5" i="7"/>
  <c r="R5" i="7"/>
  <c r="Z5" i="7"/>
  <c r="S5" i="7"/>
  <c r="T5" i="7"/>
  <c r="P5" i="7"/>
  <c r="F8" i="12"/>
  <c r="F7" i="12"/>
  <c r="F9" i="12" s="1"/>
  <c r="D12" i="12" l="1"/>
  <c r="D6" i="14"/>
  <c r="D9" i="14" s="1"/>
  <c r="F11" i="12"/>
  <c r="AD5" i="13"/>
  <c r="AB5" i="13"/>
  <c r="AC5" i="13"/>
  <c r="E11" i="12"/>
  <c r="AC5" i="7"/>
  <c r="AD5" i="7"/>
  <c r="AB5" i="7"/>
  <c r="G8" i="12"/>
  <c r="G7" i="12"/>
  <c r="G9" i="12" l="1"/>
  <c r="D21" i="14"/>
  <c r="D23" i="14" s="1"/>
  <c r="C36" i="14"/>
  <c r="F12" i="12"/>
  <c r="F6" i="14"/>
  <c r="F9" i="14" s="1"/>
  <c r="F21" i="14" s="1"/>
  <c r="F23" i="14" s="1"/>
  <c r="F24" i="14" s="1"/>
  <c r="F25" i="14" s="1"/>
  <c r="E12" i="12"/>
  <c r="E6" i="14"/>
  <c r="E9" i="14" s="1"/>
  <c r="E21" i="14" s="1"/>
  <c r="E23" i="14" s="1"/>
  <c r="E24" i="14" s="1"/>
  <c r="E25" i="14" s="1"/>
  <c r="H8" i="12"/>
  <c r="H7" i="12"/>
  <c r="D3" i="16" l="1"/>
  <c r="C35" i="14"/>
  <c r="C3" i="16" s="1"/>
  <c r="H9" i="12"/>
  <c r="D24" i="14"/>
  <c r="D25" i="14" s="1"/>
  <c r="D36" i="14" s="1"/>
  <c r="F36" i="14"/>
  <c r="E36" i="14"/>
  <c r="G11" i="12"/>
  <c r="I8" i="12"/>
  <c r="I7" i="12"/>
  <c r="F35" i="14" l="1"/>
  <c r="D6" i="16"/>
  <c r="D4" i="16"/>
  <c r="D35" i="14"/>
  <c r="C4" i="16" s="1"/>
  <c r="E35" i="14"/>
  <c r="D5" i="16"/>
  <c r="I9" i="12"/>
  <c r="C37" i="14"/>
  <c r="C38" i="14"/>
  <c r="E37" i="14"/>
  <c r="D37" i="14"/>
  <c r="G12" i="12"/>
  <c r="G6" i="14"/>
  <c r="G9" i="14" s="1"/>
  <c r="G21" i="14" s="1"/>
  <c r="G23" i="14" s="1"/>
  <c r="G24" i="14" s="1"/>
  <c r="G25" i="14" s="1"/>
  <c r="H11" i="12"/>
  <c r="J7" i="12"/>
  <c r="J8" i="12"/>
  <c r="F38" i="14" l="1"/>
  <c r="C6" i="16"/>
  <c r="E38" i="14"/>
  <c r="C5" i="16"/>
  <c r="D38" i="14"/>
  <c r="C54" i="14"/>
  <c r="E3" i="16"/>
  <c r="J9" i="12"/>
  <c r="G36" i="14"/>
  <c r="H12" i="12"/>
  <c r="H6" i="14"/>
  <c r="H9" i="14" s="1"/>
  <c r="H21" i="14" s="1"/>
  <c r="H23" i="14" s="1"/>
  <c r="H24" i="14" s="1"/>
  <c r="H25" i="14" s="1"/>
  <c r="H36" i="14" s="1"/>
  <c r="D8" i="16" s="1"/>
  <c r="I11" i="12"/>
  <c r="K7" i="12"/>
  <c r="K8" i="12"/>
  <c r="F57" i="14" l="1"/>
  <c r="E6" i="16"/>
  <c r="F54" i="14"/>
  <c r="G35" i="14"/>
  <c r="C7" i="16" s="1"/>
  <c r="D7" i="16"/>
  <c r="E54" i="14"/>
  <c r="E5" i="16"/>
  <c r="E57" i="14"/>
  <c r="D54" i="14"/>
  <c r="E4" i="16"/>
  <c r="K9" i="12"/>
  <c r="F37" i="14"/>
  <c r="I12" i="12"/>
  <c r="I6" i="14"/>
  <c r="I9" i="14" s="1"/>
  <c r="I21" i="14" s="1"/>
  <c r="I23" i="14" s="1"/>
  <c r="I24" i="14" s="1"/>
  <c r="I25" i="14" s="1"/>
  <c r="G37" i="14"/>
  <c r="H35" i="14"/>
  <c r="C8" i="16" s="1"/>
  <c r="M8" i="12"/>
  <c r="M9" i="12" s="1"/>
  <c r="J11" i="12"/>
  <c r="L7" i="12"/>
  <c r="L8" i="12"/>
  <c r="G38" i="14" l="1"/>
  <c r="G57" i="14" s="1"/>
  <c r="L9" i="12"/>
  <c r="I36" i="14"/>
  <c r="J12" i="12"/>
  <c r="J6" i="14"/>
  <c r="J9" i="14" s="1"/>
  <c r="J21" i="14" s="1"/>
  <c r="J23" i="14" s="1"/>
  <c r="J24" i="14" s="1"/>
  <c r="J25" i="14" s="1"/>
  <c r="H38" i="14"/>
  <c r="E8" i="16" s="1"/>
  <c r="K11" i="12"/>
  <c r="I35" i="14" l="1"/>
  <c r="C9" i="16" s="1"/>
  <c r="D9" i="16"/>
  <c r="G54" i="14"/>
  <c r="E7" i="16"/>
  <c r="H37" i="14"/>
  <c r="J36" i="14"/>
  <c r="H57" i="14"/>
  <c r="H54" i="14"/>
  <c r="K12" i="12"/>
  <c r="K6" i="14"/>
  <c r="K9" i="14" s="1"/>
  <c r="K21" i="14" s="1"/>
  <c r="K23" i="14" s="1"/>
  <c r="K24" i="14" s="1"/>
  <c r="K25" i="14" s="1"/>
  <c r="M11" i="12"/>
  <c r="L11" i="12"/>
  <c r="I38" i="14" l="1"/>
  <c r="E9" i="16" s="1"/>
  <c r="J35" i="14"/>
  <c r="D10" i="16"/>
  <c r="I37" i="14"/>
  <c r="K36" i="14"/>
  <c r="L12" i="12"/>
  <c r="L6" i="14"/>
  <c r="L9" i="14" s="1"/>
  <c r="L21" i="14" s="1"/>
  <c r="L23" i="14" s="1"/>
  <c r="L24" i="14" s="1"/>
  <c r="L25" i="14" s="1"/>
  <c r="M12" i="12"/>
  <c r="M6" i="14"/>
  <c r="M9" i="14" s="1"/>
  <c r="M21" i="14" s="1"/>
  <c r="M23" i="14" s="1"/>
  <c r="M24" i="14" s="1"/>
  <c r="M25" i="14" s="1"/>
  <c r="T11" i="13"/>
  <c r="AC18" i="7"/>
  <c r="AD18" i="7"/>
  <c r="B18" i="7"/>
  <c r="G11" i="13"/>
  <c r="X11" i="13"/>
  <c r="K18" i="7"/>
  <c r="C11" i="13"/>
  <c r="D11" i="13"/>
  <c r="E11" i="13"/>
  <c r="F11" i="13"/>
  <c r="O11" i="13"/>
  <c r="J18" i="7"/>
  <c r="S18" i="7"/>
  <c r="K11" i="13"/>
  <c r="L11" i="13"/>
  <c r="M11" i="13"/>
  <c r="N11" i="13"/>
  <c r="W11" i="13"/>
  <c r="R18" i="7"/>
  <c r="AA18" i="7"/>
  <c r="V11" i="13"/>
  <c r="Z18" i="7"/>
  <c r="AA11" i="13"/>
  <c r="AB11" i="13"/>
  <c r="AD11" i="13"/>
  <c r="Q18" i="7"/>
  <c r="I11" i="13"/>
  <c r="S11" i="13"/>
  <c r="U11" i="13"/>
  <c r="I18" i="7"/>
  <c r="AC11" i="13"/>
  <c r="E18" i="7"/>
  <c r="F18" i="7"/>
  <c r="G18" i="7"/>
  <c r="H18" i="7"/>
  <c r="Y18" i="7"/>
  <c r="Q11" i="13"/>
  <c r="M18" i="7"/>
  <c r="N18" i="7"/>
  <c r="O18" i="7"/>
  <c r="P18" i="7"/>
  <c r="H11" i="13"/>
  <c r="Y11" i="13"/>
  <c r="U18" i="7"/>
  <c r="V18" i="7"/>
  <c r="W18" i="7"/>
  <c r="X18" i="7"/>
  <c r="P11" i="13"/>
  <c r="C18" i="7"/>
  <c r="J11" i="13"/>
  <c r="L18" i="7"/>
  <c r="D18" i="7"/>
  <c r="AB18" i="7"/>
  <c r="T18" i="7"/>
  <c r="B11" i="13"/>
  <c r="Z11" i="13"/>
  <c r="R11" i="13"/>
  <c r="I54" i="14" l="1"/>
  <c r="I57" i="14"/>
  <c r="K35" i="14"/>
  <c r="C11" i="16" s="1"/>
  <c r="D11" i="16"/>
  <c r="J38" i="14"/>
  <c r="C10" i="16"/>
  <c r="K38" i="14"/>
  <c r="L36" i="14"/>
  <c r="M36" i="14"/>
  <c r="J37" i="14"/>
  <c r="M35" i="14" l="1"/>
  <c r="D13" i="16"/>
  <c r="L35" i="14"/>
  <c r="C12" i="16" s="1"/>
  <c r="D12" i="16"/>
  <c r="J54" i="14"/>
  <c r="E10" i="16"/>
  <c r="J57" i="14"/>
  <c r="K57" i="14"/>
  <c r="E11" i="16"/>
  <c r="B44" i="14"/>
  <c r="K54" i="14"/>
  <c r="L37" i="14"/>
  <c r="K37" i="14"/>
  <c r="L38" i="14" l="1"/>
  <c r="D14" i="16"/>
  <c r="G3" i="16" s="1"/>
  <c r="G4" i="16" s="1"/>
  <c r="G5" i="16" s="1"/>
  <c r="G6" i="16" s="1"/>
  <c r="G7" i="16" s="1"/>
  <c r="G8" i="16" s="1"/>
  <c r="G9" i="16" s="1"/>
  <c r="G10" i="16" s="1"/>
  <c r="G11" i="16" s="1"/>
  <c r="G12" i="16" s="1"/>
  <c r="G13" i="16" s="1"/>
  <c r="M38" i="14"/>
  <c r="C13" i="16"/>
  <c r="C14" i="16" s="1"/>
  <c r="F3" i="16" s="1"/>
  <c r="F4" i="16" s="1"/>
  <c r="F5" i="16" s="1"/>
  <c r="F6" i="16" s="1"/>
  <c r="F7" i="16" s="1"/>
  <c r="F8" i="16" s="1"/>
  <c r="F9" i="16" s="1"/>
  <c r="F10" i="16" s="1"/>
  <c r="F11" i="16" s="1"/>
  <c r="F12" i="16" s="1"/>
  <c r="F13" i="16" s="1"/>
  <c r="B42" i="14"/>
  <c r="L54" i="14"/>
  <c r="L57" i="14"/>
  <c r="E13" i="16" l="1"/>
  <c r="M57" i="14"/>
  <c r="M54" i="14"/>
  <c r="B66" i="14"/>
  <c r="E12" i="16"/>
  <c r="E14" i="16" l="1"/>
  <c r="H3" i="16" s="1"/>
  <c r="H4" i="16" s="1"/>
  <c r="H5" i="16" s="1"/>
  <c r="H6" i="16" s="1"/>
  <c r="H7" i="16" s="1"/>
  <c r="H8" i="16" s="1"/>
  <c r="H9" i="16" s="1"/>
  <c r="H10" i="16" s="1"/>
  <c r="H11" i="16" s="1"/>
  <c r="H12" i="16" s="1"/>
  <c r="H13" i="16" s="1"/>
</calcChain>
</file>

<file path=xl/sharedStrings.xml><?xml version="1.0" encoding="utf-8"?>
<sst xmlns="http://schemas.openxmlformats.org/spreadsheetml/2006/main" count="766" uniqueCount="575">
  <si>
    <t>Timeline</t>
  </si>
  <si>
    <t>Net cash flow</t>
  </si>
  <si>
    <t>INFLOWS</t>
  </si>
  <si>
    <t>Sales revenue</t>
  </si>
  <si>
    <t>Government subsidies / incentives</t>
  </si>
  <si>
    <t>Joint venture funding</t>
  </si>
  <si>
    <t>OUTFLOWS</t>
  </si>
  <si>
    <t>CAPEX</t>
  </si>
  <si>
    <t>Engineering</t>
  </si>
  <si>
    <t>Purchase process</t>
  </si>
  <si>
    <t>Equipment and manufacturing</t>
  </si>
  <si>
    <t>Transportation</t>
  </si>
  <si>
    <t>Total CAPEX</t>
  </si>
  <si>
    <t>OPEX</t>
  </si>
  <si>
    <t>Overhead costs</t>
  </si>
  <si>
    <t>Production line setup costs</t>
  </si>
  <si>
    <t>OP.10</t>
  </si>
  <si>
    <t>OP.20</t>
  </si>
  <si>
    <t>OP.30</t>
  </si>
  <si>
    <t>OP.40</t>
  </si>
  <si>
    <t>OP.50</t>
  </si>
  <si>
    <t>OP.60</t>
  </si>
  <si>
    <t>OP.70</t>
  </si>
  <si>
    <t>OP.80</t>
  </si>
  <si>
    <t>OP.90</t>
  </si>
  <si>
    <t>OP.100</t>
  </si>
  <si>
    <t>OP.110</t>
  </si>
  <si>
    <t>Final Line Testing</t>
  </si>
  <si>
    <t>Contingency fund</t>
  </si>
  <si>
    <t>Total OPEX</t>
  </si>
  <si>
    <t>FV CF</t>
  </si>
  <si>
    <t>DCF</t>
  </si>
  <si>
    <t>NPV</t>
  </si>
  <si>
    <t>PV</t>
  </si>
  <si>
    <t>Economics (M€)</t>
  </si>
  <si>
    <t>Cash flow (M€)</t>
  </si>
  <si>
    <t>Indicators</t>
  </si>
  <si>
    <t> </t>
  </si>
  <si>
    <t>2021 </t>
  </si>
  <si>
    <t>2022 </t>
  </si>
  <si>
    <t>Change </t>
  </si>
  <si>
    <r>
      <t>Sales</t>
    </r>
    <r>
      <rPr>
        <sz val="11"/>
        <color rgb="FF000000"/>
        <rFont val="Arial"/>
      </rPr>
      <t> </t>
    </r>
  </si>
  <si>
    <r>
      <t>Operating cash-flow</t>
    </r>
    <r>
      <rPr>
        <sz val="11"/>
        <rFont val="Arial"/>
      </rPr>
      <t> </t>
    </r>
  </si>
  <si>
    <t>Return on Invested Capital </t>
  </si>
  <si>
    <r>
      <t>Cost of goods sold</t>
    </r>
    <r>
      <rPr>
        <sz val="11"/>
        <rFont val="Arial"/>
      </rPr>
      <t> </t>
    </r>
  </si>
  <si>
    <t>Net income </t>
  </si>
  <si>
    <t>ROI </t>
  </si>
  <si>
    <t>4,70% </t>
  </si>
  <si>
    <t>10,10% </t>
  </si>
  <si>
    <t>-53% </t>
  </si>
  <si>
    <t>Material </t>
  </si>
  <si>
    <t>Items not involving current cash flows </t>
  </si>
  <si>
    <t>Return on Equity </t>
  </si>
  <si>
    <t>Direct labor </t>
  </si>
  <si>
    <t>Changes in operating assets and liabilities </t>
  </si>
  <si>
    <t>ROE </t>
  </si>
  <si>
    <t>7,00% </t>
  </si>
  <si>
    <t>15,50% </t>
  </si>
  <si>
    <t>-55% </t>
  </si>
  <si>
    <t>Overhead </t>
  </si>
  <si>
    <t>Cash provided from operations </t>
  </si>
  <si>
    <r>
      <t>S.G.A.</t>
    </r>
    <r>
      <rPr>
        <sz val="11"/>
        <rFont val="Arial"/>
      </rPr>
      <t> </t>
    </r>
  </si>
  <si>
    <t>Fixed asset additions </t>
  </si>
  <si>
    <t>Selling </t>
  </si>
  <si>
    <t>Increase in investments, other tangible, and intangible assets </t>
  </si>
  <si>
    <t>General </t>
  </si>
  <si>
    <t>0% </t>
  </si>
  <si>
    <t>Cash used for investing </t>
  </si>
  <si>
    <t>Administrative </t>
  </si>
  <si>
    <t>Net Cash-flow </t>
  </si>
  <si>
    <r>
      <t>EBITDA</t>
    </r>
    <r>
      <rPr>
        <sz val="11"/>
        <rFont val="Arial"/>
      </rPr>
      <t> </t>
    </r>
  </si>
  <si>
    <t>% of Sales </t>
  </si>
  <si>
    <t>Project 1</t>
  </si>
  <si>
    <t>Subtotal</t>
  </si>
  <si>
    <t>Total</t>
  </si>
  <si>
    <t>Assumptions</t>
  </si>
  <si>
    <t>Direct costs</t>
  </si>
  <si>
    <t>Start date</t>
  </si>
  <si>
    <t>Finish date</t>
  </si>
  <si>
    <t>Debt ratio</t>
  </si>
  <si>
    <t>Phases</t>
  </si>
  <si>
    <t>Equity ratio</t>
  </si>
  <si>
    <t>Erection phase &amp; Final line testing</t>
  </si>
  <si>
    <t>Joint Venture Magnus</t>
  </si>
  <si>
    <t>Joint Venture GPC</t>
  </si>
  <si>
    <t>Indirect costs</t>
  </si>
  <si>
    <t>Engineering phase</t>
  </si>
  <si>
    <t>corporate tax rate</t>
  </si>
  <si>
    <t>Purchase phase</t>
  </si>
  <si>
    <t>Manufacturing phase</t>
  </si>
  <si>
    <t>Transportation phase</t>
  </si>
  <si>
    <t>Equity Project 1</t>
  </si>
  <si>
    <t>Debt Project 1</t>
  </si>
  <si>
    <t>Manufacturing line</t>
  </si>
  <si>
    <t>Project 2</t>
  </si>
  <si>
    <t>Duration projects (days)</t>
  </si>
  <si>
    <t>ERP Implementation</t>
  </si>
  <si>
    <t>Meeting with stakeholders</t>
  </si>
  <si>
    <t>Year 2023</t>
  </si>
  <si>
    <t>Year 2026</t>
  </si>
  <si>
    <t>Price calculation</t>
  </si>
  <si>
    <t>Daily overhead costs</t>
  </si>
  <si>
    <t>Project duration</t>
  </si>
  <si>
    <t>Contingency</t>
  </si>
  <si>
    <t>Calculated CO</t>
  </si>
  <si>
    <t>Interest on capital</t>
  </si>
  <si>
    <t>Calculated IoC</t>
  </si>
  <si>
    <t>Total project cost</t>
  </si>
  <si>
    <t>Profit rate</t>
  </si>
  <si>
    <t>X</t>
  </si>
  <si>
    <t>Depreciation</t>
  </si>
  <si>
    <t>Initial value of the machines</t>
  </si>
  <si>
    <t>Residual value is 30%</t>
  </si>
  <si>
    <t>WBS</t>
  </si>
  <si>
    <t>Task Name</t>
  </si>
  <si>
    <t>Start</t>
  </si>
  <si>
    <t>Finish</t>
  </si>
  <si>
    <t>Total Cost</t>
  </si>
  <si>
    <t>Baseline</t>
  </si>
  <si>
    <t>Variance</t>
  </si>
  <si>
    <t>Actual</t>
  </si>
  <si>
    <t>Cost</t>
  </si>
  <si>
    <t>Project</t>
  </si>
  <si>
    <t>Mon 24-01-15</t>
  </si>
  <si>
    <t>Tue 26-07-07</t>
  </si>
  <si>
    <t>1.2</t>
  </si>
  <si>
    <t>Project2</t>
  </si>
  <si>
    <t>1.1</t>
  </si>
  <si>
    <t xml:space="preserve">   ENGINEERING PHASE</t>
  </si>
  <si>
    <t>1.2.1</t>
  </si>
  <si>
    <t xml:space="preserve">   ERP Implementation</t>
  </si>
  <si>
    <t>1.1.1</t>
  </si>
  <si>
    <t xml:space="preserve">      Detailed Engineering - Process</t>
  </si>
  <si>
    <t>1.2.1.1</t>
  </si>
  <si>
    <t xml:space="preserve">      Prepare </t>
  </si>
  <si>
    <t>1.1.1.1</t>
  </si>
  <si>
    <t xml:space="preserve">      Detailed Engineering - Layout</t>
  </si>
  <si>
    <t>1.2.1.1.1</t>
  </si>
  <si>
    <t>Plan the meeting and revise requirements</t>
  </si>
  <si>
    <t>1.1.1.2</t>
  </si>
  <si>
    <t xml:space="preserve">   CIVIL WORKS REFURBISHMENT ERECTION PHASE</t>
  </si>
  <si>
    <t>1.2.1.1.2</t>
  </si>
  <si>
    <t>Develop projet plan</t>
  </si>
  <si>
    <t>1.1.2</t>
  </si>
  <si>
    <t xml:space="preserve">      Design Civil Works</t>
  </si>
  <si>
    <t>1.2.1.1.2.1</t>
  </si>
  <si>
    <t>Develop Project Charter</t>
  </si>
  <si>
    <t>1.1.2.1</t>
  </si>
  <si>
    <t xml:space="preserve">      Permits and Authorizations</t>
  </si>
  <si>
    <t>1.2.1.1.2.2</t>
  </si>
  <si>
    <t>Define project and quality management processes</t>
  </si>
  <si>
    <t>1.1.2.2</t>
  </si>
  <si>
    <t xml:space="preserve">      Site Installation</t>
  </si>
  <si>
    <t>1.2.1.1.2.3</t>
  </si>
  <si>
    <t>Create Master Plan</t>
  </si>
  <si>
    <t>1.1.2.3</t>
  </si>
  <si>
    <t xml:space="preserve">      Excavations &amp; Foundations</t>
  </si>
  <si>
    <t>1.2.1.1.2.4</t>
  </si>
  <si>
    <t>Craft detailed work plan</t>
  </si>
  <si>
    <t>1.1.2.4</t>
  </si>
  <si>
    <t xml:space="preserve">      Structural Improvement</t>
  </si>
  <si>
    <t>1.2.1.1.3</t>
  </si>
  <si>
    <t>Validate and prioritize requirements</t>
  </si>
  <si>
    <t>1.1.2.5</t>
  </si>
  <si>
    <t xml:space="preserve">      Industrial Flooring</t>
  </si>
  <si>
    <t>1.2.1.1.4</t>
  </si>
  <si>
    <t>Establish governance and communicating strategy</t>
  </si>
  <si>
    <t>1.1.2.6</t>
  </si>
  <si>
    <t xml:space="preserve">      Finishes</t>
  </si>
  <si>
    <t>1.2.1.1.4.1</t>
  </si>
  <si>
    <t xml:space="preserve">   Establish organizational structure</t>
  </si>
  <si>
    <t>1.1.2.7</t>
  </si>
  <si>
    <t>Civil work final meeting</t>
  </si>
  <si>
    <t>1.2.1.1.4.2</t>
  </si>
  <si>
    <t xml:space="preserve">   Devise project tool strategy</t>
  </si>
  <si>
    <t>1.1.2.8</t>
  </si>
  <si>
    <t xml:space="preserve">   PURCHASE PROCESS (to repeat for each equipment type)</t>
  </si>
  <si>
    <t>1.2.1.1.4.3</t>
  </si>
  <si>
    <t xml:space="preserve">   Assign resources to tasks</t>
  </si>
  <si>
    <t>1.1.3</t>
  </si>
  <si>
    <t xml:space="preserve">      Request for proposals</t>
  </si>
  <si>
    <t>1.2.1.1.5</t>
  </si>
  <si>
    <t>Hire resources</t>
  </si>
  <si>
    <t>1.1.3.1</t>
  </si>
  <si>
    <t xml:space="preserve">      Waiting period</t>
  </si>
  <si>
    <t>1.2.1.2</t>
  </si>
  <si>
    <t>Explore</t>
  </si>
  <si>
    <t>1.1.3.2</t>
  </si>
  <si>
    <t xml:space="preserve">      Competitive proposal analysis</t>
  </si>
  <si>
    <t>1.2.1.2.1</t>
  </si>
  <si>
    <t xml:space="preserve">   Perform AS IS analysis</t>
  </si>
  <si>
    <t>1.1.3.3</t>
  </si>
  <si>
    <t xml:space="preserve">      Orders</t>
  </si>
  <si>
    <t>1.2.1.2.2</t>
  </si>
  <si>
    <t xml:space="preserve">   Perform FIT GAP analysis</t>
  </si>
  <si>
    <t>1.1.3.4</t>
  </si>
  <si>
    <t xml:space="preserve">         CNC Machine (Double and Single spindle) order</t>
  </si>
  <si>
    <t>1.2.1.2.3</t>
  </si>
  <si>
    <t xml:space="preserve">   Perform TO BE analysis</t>
  </si>
  <si>
    <t>1.1.3.4.1</t>
  </si>
  <si>
    <t xml:space="preserve">         Drilling Machine order</t>
  </si>
  <si>
    <t>1.2.1.2.4</t>
  </si>
  <si>
    <t xml:space="preserve">   Develop functional specification and realization plan</t>
  </si>
  <si>
    <t>1.1.3.4.2</t>
  </si>
  <si>
    <t xml:space="preserve">         Conveyors order (Powered and Overhead)</t>
  </si>
  <si>
    <t>1.2.1.2.5</t>
  </si>
  <si>
    <t xml:space="preserve">   Develop security, privacy and controls approach</t>
  </si>
  <si>
    <t>1.1.3.4.3</t>
  </si>
  <si>
    <t xml:space="preserve">         Washing station (Final and Intermidiate) order</t>
  </si>
  <si>
    <t>1.2.1.2.6</t>
  </si>
  <si>
    <t xml:space="preserve">   Develop Business Process Blueprints</t>
  </si>
  <si>
    <t>1.1.3.4.4</t>
  </si>
  <si>
    <t xml:space="preserve">         Assembly Station order</t>
  </si>
  <si>
    <t>1.2.1.3</t>
  </si>
  <si>
    <t xml:space="preserve">      Build</t>
  </si>
  <si>
    <t>1.1.3.4.5</t>
  </si>
  <si>
    <t xml:space="preserve">         Gantry Loader order</t>
  </si>
  <si>
    <t>1.2.1.3.1</t>
  </si>
  <si>
    <t xml:space="preserve">         Develop technical specifications</t>
  </si>
  <si>
    <t>1.1.3.4.6</t>
  </si>
  <si>
    <t xml:space="preserve">         Rotating Table</t>
  </si>
  <si>
    <t>1.2.1.3.2</t>
  </si>
  <si>
    <t xml:space="preserve">         Develop configuration and code</t>
  </si>
  <si>
    <t>1.1.3.4.7</t>
  </si>
  <si>
    <t xml:space="preserve">         Lift/Lower Components</t>
  </si>
  <si>
    <t>1.2.1.3.3</t>
  </si>
  <si>
    <t xml:space="preserve">         Perform unit test</t>
  </si>
  <si>
    <t>1.1.3.4.8</t>
  </si>
  <si>
    <t xml:space="preserve">         Manipulator</t>
  </si>
  <si>
    <t>1.2.1.3.4</t>
  </si>
  <si>
    <t xml:space="preserve">         Develop learning documentation</t>
  </si>
  <si>
    <t>1.4</t>
  </si>
  <si>
    <t>EQUIPMENT MANUFACTURING PHASE (values for each unit of equipment)</t>
  </si>
  <si>
    <t>1.2.1.3.5</t>
  </si>
  <si>
    <t xml:space="preserve">         Develop Go/No Go criteria and deployment plan</t>
  </si>
  <si>
    <t>1.4.1</t>
  </si>
  <si>
    <t xml:space="preserve">   Single Spindle machine</t>
  </si>
  <si>
    <t>1.2.1.4</t>
  </si>
  <si>
    <t xml:space="preserve">      Test</t>
  </si>
  <si>
    <t>1.4.1.1</t>
  </si>
  <si>
    <t xml:space="preserve">      Single Spindle Machine</t>
  </si>
  <si>
    <t>1.2.1.4.1</t>
  </si>
  <si>
    <t xml:space="preserve">         Conduct integration test</t>
  </si>
  <si>
    <t>1.4.1.2</t>
  </si>
  <si>
    <t xml:space="preserve">      Technical requiremets check</t>
  </si>
  <si>
    <t>1.2.1.4.2</t>
  </si>
  <si>
    <t xml:space="preserve">         Conduct mock data conversion</t>
  </si>
  <si>
    <t>1.4.1.3</t>
  </si>
  <si>
    <t xml:space="preserve">      Payment</t>
  </si>
  <si>
    <t>1.2.1.4.3</t>
  </si>
  <si>
    <t xml:space="preserve">         Develop a transition plan</t>
  </si>
  <si>
    <t>1.4.2</t>
  </si>
  <si>
    <t xml:space="preserve">   Double Spindle Machine</t>
  </si>
  <si>
    <t>1.2.1.4.4</t>
  </si>
  <si>
    <t xml:space="preserve">         Prepare for user acceptance test</t>
  </si>
  <si>
    <t>1.4.2.1</t>
  </si>
  <si>
    <t xml:space="preserve">      Double Spindle machine</t>
  </si>
  <si>
    <t>1.2.1.4.5</t>
  </si>
  <si>
    <t xml:space="preserve">         Conduct acceptance test</t>
  </si>
  <si>
    <t>1.4.2.2</t>
  </si>
  <si>
    <t>1.2.1.5</t>
  </si>
  <si>
    <t xml:space="preserve">   Deploy</t>
  </si>
  <si>
    <t>1.4.2.3</t>
  </si>
  <si>
    <t>1.2.1.5.1</t>
  </si>
  <si>
    <t xml:space="preserve">      Meeting to start project 3</t>
  </si>
  <si>
    <t>1.4.3</t>
  </si>
  <si>
    <t xml:space="preserve">   Drilling machine</t>
  </si>
  <si>
    <t>1.2.1.5.2</t>
  </si>
  <si>
    <t xml:space="preserve">      Deploy learning to end-users</t>
  </si>
  <si>
    <t>1.4.3.1</t>
  </si>
  <si>
    <t xml:space="preserve">      Drilling machine</t>
  </si>
  <si>
    <t>1.2.1.5.3</t>
  </si>
  <si>
    <t xml:space="preserve">      Conduct deployment Go/No Go decision set</t>
  </si>
  <si>
    <t>1.4.3.2</t>
  </si>
  <si>
    <t>1.2.1.5.4</t>
  </si>
  <si>
    <t xml:space="preserve">      Execute production deployment</t>
  </si>
  <si>
    <t>1.4.3.3</t>
  </si>
  <si>
    <t>1.2.1.5.5</t>
  </si>
  <si>
    <t xml:space="preserve">      Execute final data migration</t>
  </si>
  <si>
    <t>1.4.4</t>
  </si>
  <si>
    <t xml:space="preserve">   Powered Conveyors </t>
  </si>
  <si>
    <t>1.2.1.6</t>
  </si>
  <si>
    <t xml:space="preserve">   Run</t>
  </si>
  <si>
    <t>1.4.4.1</t>
  </si>
  <si>
    <t xml:space="preserve">      Powered conveyors</t>
  </si>
  <si>
    <t>1.2.1.6.1</t>
  </si>
  <si>
    <t xml:space="preserve">      Develop post implementation and evaluation reports</t>
  </si>
  <si>
    <t>1.4.4.2</t>
  </si>
  <si>
    <t>1.2.1.6.2</t>
  </si>
  <si>
    <t xml:space="preserve">      Conduct service delivery transition</t>
  </si>
  <si>
    <t>1.4.4.3</t>
  </si>
  <si>
    <t>1.2.1.6.3</t>
  </si>
  <si>
    <t xml:space="preserve">      Track value realization</t>
  </si>
  <si>
    <t>1.4.5</t>
  </si>
  <si>
    <t xml:space="preserve">   Overhead Conveyors</t>
  </si>
  <si>
    <t>1.2.1.6.4</t>
  </si>
  <si>
    <t xml:space="preserve">      Close project</t>
  </si>
  <si>
    <t>1.4.5.1</t>
  </si>
  <si>
    <t xml:space="preserve">      Overhead Conveyors</t>
  </si>
  <si>
    <t>1.2.2</t>
  </si>
  <si>
    <t>Meeting with Stakeholders for project 2 closure</t>
  </si>
  <si>
    <t>1.4.5.2</t>
  </si>
  <si>
    <t>1.4.5.3</t>
  </si>
  <si>
    <t>1.4.6</t>
  </si>
  <si>
    <t xml:space="preserve">   Intermidiate Washing stations</t>
  </si>
  <si>
    <t>1.4.6.1</t>
  </si>
  <si>
    <t xml:space="preserve">      Intermidiate Washing stations</t>
  </si>
  <si>
    <t>1.4.6.2</t>
  </si>
  <si>
    <t>1.4.6.3</t>
  </si>
  <si>
    <t>1.4.7</t>
  </si>
  <si>
    <t xml:space="preserve">   Final Washing station</t>
  </si>
  <si>
    <t>1.4.7.1</t>
  </si>
  <si>
    <t xml:space="preserve">      Final Washing station</t>
  </si>
  <si>
    <t>1.4.7.2</t>
  </si>
  <si>
    <t>1.4.7.3</t>
  </si>
  <si>
    <t>1.4.8</t>
  </si>
  <si>
    <t xml:space="preserve">   Assembly station</t>
  </si>
  <si>
    <t>1.4.8.1</t>
  </si>
  <si>
    <t xml:space="preserve">      Assembly station</t>
  </si>
  <si>
    <t>1.4.8.2</t>
  </si>
  <si>
    <t>1.4.8.3</t>
  </si>
  <si>
    <t>1.4.9</t>
  </si>
  <si>
    <t xml:space="preserve">   Gantry loaders</t>
  </si>
  <si>
    <t>1.4.9.1</t>
  </si>
  <si>
    <t xml:space="preserve">      Gantry loaders</t>
  </si>
  <si>
    <t>1.4.9.2</t>
  </si>
  <si>
    <t>1.4.9.3</t>
  </si>
  <si>
    <t>1.4.10</t>
  </si>
  <si>
    <t xml:space="preserve">   Rotating Table</t>
  </si>
  <si>
    <t>1.4.10.1</t>
  </si>
  <si>
    <t xml:space="preserve">      Rotating Table</t>
  </si>
  <si>
    <t>1.4.10.2</t>
  </si>
  <si>
    <t>1.4.10.3</t>
  </si>
  <si>
    <t>1.4.11</t>
  </si>
  <si>
    <t xml:space="preserve">   Lift/Lower Components</t>
  </si>
  <si>
    <t>1.4.11.1</t>
  </si>
  <si>
    <t xml:space="preserve">      Lift/Lower Components</t>
  </si>
  <si>
    <t>1.4.11.2</t>
  </si>
  <si>
    <t>1.4.11.3</t>
  </si>
  <si>
    <t>1.4.12</t>
  </si>
  <si>
    <t xml:space="preserve">   Manipulator</t>
  </si>
  <si>
    <t>1.4.12.1</t>
  </si>
  <si>
    <t xml:space="preserve">       Manipulator</t>
  </si>
  <si>
    <t>1.4.12.2</t>
  </si>
  <si>
    <t>1.4.12.3</t>
  </si>
  <si>
    <t>1.1.4.13</t>
  </si>
  <si>
    <t>Meeting to start project 2 &amp; 3</t>
  </si>
  <si>
    <t>1.1.4.13.1</t>
  </si>
  <si>
    <t xml:space="preserve">   Meeting to start project 2</t>
  </si>
  <si>
    <t>1.1.4.13.2</t>
  </si>
  <si>
    <t xml:space="preserve">   Meeting to start project 3</t>
  </si>
  <si>
    <t>1.1.5</t>
  </si>
  <si>
    <t>TRANSPORTATION PHASE (from the contractor to the owner's construction site)</t>
  </si>
  <si>
    <t>1.1.5.1</t>
  </si>
  <si>
    <t xml:space="preserve">   Single Spindle Machine</t>
  </si>
  <si>
    <t>1.1.5.2</t>
  </si>
  <si>
    <t>1.1.5.3</t>
  </si>
  <si>
    <t xml:space="preserve">   Drilling Machine</t>
  </si>
  <si>
    <t>1.1.5.4</t>
  </si>
  <si>
    <t xml:space="preserve">   Powered Conveyors</t>
  </si>
  <si>
    <t>1.1.5.5</t>
  </si>
  <si>
    <t>1.1.5.6</t>
  </si>
  <si>
    <t>1.1.5.7</t>
  </si>
  <si>
    <t xml:space="preserve">   Gantry Loader</t>
  </si>
  <si>
    <t>1.1.5.8</t>
  </si>
  <si>
    <t xml:space="preserve">   Rotating table</t>
  </si>
  <si>
    <t>1.1.5.9</t>
  </si>
  <si>
    <t>1.1.5.10</t>
  </si>
  <si>
    <t xml:space="preserve">   Intermidiate washing station</t>
  </si>
  <si>
    <t>1.1.5.11</t>
  </si>
  <si>
    <t xml:space="preserve">   Final washing station</t>
  </si>
  <si>
    <t>1.1.5.12</t>
  </si>
  <si>
    <t>1.6</t>
  </si>
  <si>
    <t xml:space="preserve">   ON SITE ERECTION PHASE</t>
  </si>
  <si>
    <t>1.6.1</t>
  </si>
  <si>
    <t xml:space="preserve">      OP.10</t>
  </si>
  <si>
    <t>1.6.1.1</t>
  </si>
  <si>
    <t xml:space="preserve">         Single-spindle cnc machine 1</t>
  </si>
  <si>
    <t>1.6.1.1.1</t>
  </si>
  <si>
    <t xml:space="preserve">            Installation</t>
  </si>
  <si>
    <t>1.6.1.1.2</t>
  </si>
  <si>
    <t xml:space="preserve">            Electrical&amp;IT Connections</t>
  </si>
  <si>
    <t>1.6.1.1.3</t>
  </si>
  <si>
    <t xml:space="preserve">            Final Assembly</t>
  </si>
  <si>
    <t>1.6.1.2</t>
  </si>
  <si>
    <t xml:space="preserve">         Single-spindle cnc machine 2</t>
  </si>
  <si>
    <t>1.6.1.2.1</t>
  </si>
  <si>
    <t>1.6.1.2.2</t>
  </si>
  <si>
    <t>1.6.1.2.3</t>
  </si>
  <si>
    <t>1.6.2</t>
  </si>
  <si>
    <t xml:space="preserve">      OP.20</t>
  </si>
  <si>
    <t>1.6.2.1</t>
  </si>
  <si>
    <t xml:space="preserve">         Drilling machine</t>
  </si>
  <si>
    <t>1.6.2.1.1</t>
  </si>
  <si>
    <t>1.6.2.1.2</t>
  </si>
  <si>
    <t>1.6.2.1.3</t>
  </si>
  <si>
    <t>1.6.3</t>
  </si>
  <si>
    <t xml:space="preserve">      OP.30</t>
  </si>
  <si>
    <t>1.6.3.1</t>
  </si>
  <si>
    <t xml:space="preserve">         Double-spindle CNC machine 1</t>
  </si>
  <si>
    <t>1.6.3.1.1</t>
  </si>
  <si>
    <t>1.6.3.1.2</t>
  </si>
  <si>
    <t>1.6.3.1.3</t>
  </si>
  <si>
    <t>1.6.3.2</t>
  </si>
  <si>
    <t xml:space="preserve">         Double-spindle CNC machine 2</t>
  </si>
  <si>
    <t>1.6.3.2.1</t>
  </si>
  <si>
    <t>1.6.3.2.2</t>
  </si>
  <si>
    <t>1.6.3.2.3</t>
  </si>
  <si>
    <t>1.6.4</t>
  </si>
  <si>
    <t xml:space="preserve">      OP.40</t>
  </si>
  <si>
    <t>1.6.4.1</t>
  </si>
  <si>
    <t xml:space="preserve">         Double-spindle CNC machine 3</t>
  </si>
  <si>
    <t>1.6.4.1.1</t>
  </si>
  <si>
    <t>1.6.4.1.2</t>
  </si>
  <si>
    <t>1.6.4.1.3</t>
  </si>
  <si>
    <t>1.6.4.2</t>
  </si>
  <si>
    <t xml:space="preserve">         Double-spindle CNC machine 4</t>
  </si>
  <si>
    <t>1.6.4.2.1</t>
  </si>
  <si>
    <t>1.6.4.2.2</t>
  </si>
  <si>
    <t>1.6.4.2.3</t>
  </si>
  <si>
    <t>1.6.5</t>
  </si>
  <si>
    <t xml:space="preserve">      OP.50</t>
  </si>
  <si>
    <t>1.6.5.1</t>
  </si>
  <si>
    <t xml:space="preserve">         Double-spindle CNC machine 5</t>
  </si>
  <si>
    <t>1.6.5.1.1</t>
  </si>
  <si>
    <t>1.6.5.1.2</t>
  </si>
  <si>
    <t>1.6.5.1.3</t>
  </si>
  <si>
    <t>1.6.5.2</t>
  </si>
  <si>
    <t xml:space="preserve">         Double-spindle CNC machine 6</t>
  </si>
  <si>
    <t>1.6.5.2.1</t>
  </si>
  <si>
    <t>1.6.5.2.2</t>
  </si>
  <si>
    <t>1.6.5.2.3</t>
  </si>
  <si>
    <t>1.6.5.3</t>
  </si>
  <si>
    <t xml:space="preserve">         Single-spindle cnc machine 3</t>
  </si>
  <si>
    <t>1.6.5.3.1</t>
  </si>
  <si>
    <t>1.6.5.3.2</t>
  </si>
  <si>
    <t>1.6.5.3.3</t>
  </si>
  <si>
    <t>1.6.6</t>
  </si>
  <si>
    <t xml:space="preserve">      OP.60</t>
  </si>
  <si>
    <t>1.6.6.1</t>
  </si>
  <si>
    <t xml:space="preserve">         Intermediate washing station</t>
  </si>
  <si>
    <t>1.6.6.1.1</t>
  </si>
  <si>
    <t>1.6.6.1.2</t>
  </si>
  <si>
    <t>1.6.6.1.3</t>
  </si>
  <si>
    <t>1.6.7</t>
  </si>
  <si>
    <t xml:space="preserve">      OP.70</t>
  </si>
  <si>
    <t>1.6.7.1</t>
  </si>
  <si>
    <t xml:space="preserve">         Valve guides assembly station</t>
  </si>
  <si>
    <t>1.6.7.1.1</t>
  </si>
  <si>
    <t>1.6.7.1.2</t>
  </si>
  <si>
    <t>1.6.7.1.3</t>
  </si>
  <si>
    <t>1.6.8</t>
  </si>
  <si>
    <t xml:space="preserve">      OP.80</t>
  </si>
  <si>
    <t>1.6.8.1</t>
  </si>
  <si>
    <t xml:space="preserve">         Double-spindle CNC machine 7</t>
  </si>
  <si>
    <t>1.6.8.1.1</t>
  </si>
  <si>
    <t>1.6.8.1.2</t>
  </si>
  <si>
    <t>1.6.8.1.3</t>
  </si>
  <si>
    <t>1.6.8.1.4</t>
  </si>
  <si>
    <t xml:space="preserve">            Double-spindle CNC machine 8</t>
  </si>
  <si>
    <t>1.6.8.1.4.1</t>
  </si>
  <si>
    <t xml:space="preserve">               Installation</t>
  </si>
  <si>
    <t>1.6.8.1.4.2</t>
  </si>
  <si>
    <t xml:space="preserve">               Electrical&amp;IT Connections</t>
  </si>
  <si>
    <t>1.6.8.1.4.3</t>
  </si>
  <si>
    <t xml:space="preserve">               Final Assembly</t>
  </si>
  <si>
    <t>1.6.9</t>
  </si>
  <si>
    <t xml:space="preserve">      OP.90</t>
  </si>
  <si>
    <t>1.6.9.1</t>
  </si>
  <si>
    <t xml:space="preserve">         Double-Spindle CNC machine 9</t>
  </si>
  <si>
    <t>1.6.9.1.1</t>
  </si>
  <si>
    <t>1.6.9.1.2</t>
  </si>
  <si>
    <t>1.6.9.1.3</t>
  </si>
  <si>
    <t>1.6.9.1.4</t>
  </si>
  <si>
    <t xml:space="preserve">            Double-Spindle CNC machine 10</t>
  </si>
  <si>
    <t>1.6.9.1.4.1</t>
  </si>
  <si>
    <t>1.6.9.1.4.2</t>
  </si>
  <si>
    <t>1.6.9.1.4.3</t>
  </si>
  <si>
    <t>1.6.9.1.5</t>
  </si>
  <si>
    <t xml:space="preserve">            Double-Spindle CNC machine 11</t>
  </si>
  <si>
    <t>1.6.9.1.5.1</t>
  </si>
  <si>
    <t>1.6.9.1.5.2</t>
  </si>
  <si>
    <t>1.6.9.1.5.3</t>
  </si>
  <si>
    <t>1.6.10</t>
  </si>
  <si>
    <t xml:space="preserve">      OP.100</t>
  </si>
  <si>
    <t>1.6.10.1</t>
  </si>
  <si>
    <t xml:space="preserve">         Final washing station</t>
  </si>
  <si>
    <t>1.6.10.1.1</t>
  </si>
  <si>
    <t>1.6.10.1.2</t>
  </si>
  <si>
    <t>1.6.10.1.3</t>
  </si>
  <si>
    <t>1.6.11</t>
  </si>
  <si>
    <t xml:space="preserve">      OP.110</t>
  </si>
  <si>
    <t>1.6.11.1</t>
  </si>
  <si>
    <t xml:space="preserve">         Final assembly station</t>
  </si>
  <si>
    <t>1.6.11.1.1</t>
  </si>
  <si>
    <t>1.6.11.1.2</t>
  </si>
  <si>
    <t>1.6.11.1.3</t>
  </si>
  <si>
    <t>1.7</t>
  </si>
  <si>
    <t xml:space="preserve">   FINAL LINE TESTING</t>
  </si>
  <si>
    <t>1.7.1</t>
  </si>
  <si>
    <t xml:space="preserve">      Testing</t>
  </si>
  <si>
    <t>EBITD</t>
  </si>
  <si>
    <t>EBIT</t>
  </si>
  <si>
    <t>Tax expense</t>
  </si>
  <si>
    <t>EBI(AT)</t>
  </si>
  <si>
    <t>Cash flow</t>
  </si>
  <si>
    <t>Cash Flow</t>
  </si>
  <si>
    <t>Cumulative Cash Flow</t>
  </si>
  <si>
    <t>DSCR</t>
  </si>
  <si>
    <t>Average</t>
  </si>
  <si>
    <t>Profitability</t>
  </si>
  <si>
    <t>Cost of equity</t>
  </si>
  <si>
    <t>IRR</t>
  </si>
  <si>
    <t>Debt amount</t>
  </si>
  <si>
    <t>DSCR Rarget</t>
  </si>
  <si>
    <t>Annual payment</t>
  </si>
  <si>
    <t>Equity</t>
  </si>
  <si>
    <t>Levered profitability</t>
  </si>
  <si>
    <t>WACC</t>
  </si>
  <si>
    <t>Cd</t>
  </si>
  <si>
    <t>Ce levered</t>
  </si>
  <si>
    <t>NPV WACC</t>
  </si>
  <si>
    <t>Year</t>
  </si>
  <si>
    <t>Bank loan</t>
  </si>
  <si>
    <t>Sum of INFLOWS</t>
  </si>
  <si>
    <t xml:space="preserve">See sheet "Revenue" for information about the revenues </t>
  </si>
  <si>
    <t>Please see below in the cash flow sheet (Wacc, NPV, debt amount, interests, equity to use etc.,)</t>
  </si>
  <si>
    <t>Interests</t>
  </si>
  <si>
    <t>Annual debt payment without interest</t>
  </si>
  <si>
    <t>Total Annual debt payment</t>
  </si>
  <si>
    <t>Equipment manufacturing</t>
  </si>
  <si>
    <t>Contingency Fund</t>
  </si>
  <si>
    <t>Net Cash Flow</t>
  </si>
  <si>
    <t>Free Cash Flow</t>
  </si>
  <si>
    <t>Cumulative Free Cash Flow</t>
  </si>
  <si>
    <t>Net Cash Flow to repay the CAPEX</t>
  </si>
  <si>
    <t>1. Profitability without debt</t>
  </si>
  <si>
    <t>In this step NPV was computed just to show the advantages in terms of NPV if we use debt to finance the project</t>
  </si>
  <si>
    <t>2. Choosing debt amount</t>
  </si>
  <si>
    <t>Amount of debt choosen</t>
  </si>
  <si>
    <t>Debt amount can range between 0 and 
the maximum amount of CAPEX</t>
  </si>
  <si>
    <t>DSCR target</t>
  </si>
  <si>
    <t xml:space="preserve">Total Capex </t>
  </si>
  <si>
    <t>Cost of debt</t>
  </si>
  <si>
    <t>First computation of the annual payment of debt</t>
  </si>
  <si>
    <t>First Annual DSCR</t>
  </si>
  <si>
    <t>The first 2 years we can't meet the DSCR requirements, so as said during lecture is assumed that Magnus made a deal with the bank to start repaing the debt after 2 year</t>
  </si>
  <si>
    <t>New Annual Payment</t>
  </si>
  <si>
    <t>New DSCR</t>
  </si>
  <si>
    <t>In this step the debt to be contracted was first decided, then a DSCR target to be respected was set (usually the DSCR target must be greater than 1,5). Using the RATA (PMT in english) formula, the annual payment of debt was computed, but in this way there was 
a too low DSCR in the first two year.To solve this problem it was assumed that the company had an agreement with the bank to pay back the debt after 2 year, so when the factory is completed (to make this assumption realistic, a high cost of debt was chosen). So in this way a new annual payment of debt and new DSCRs were computed</t>
  </si>
  <si>
    <t>3. Profitability with debt</t>
  </si>
  <si>
    <t>Equity to use = CAPEX - DEBT</t>
  </si>
  <si>
    <t>Cost of equity of levered firm</t>
  </si>
  <si>
    <t>Tax rate</t>
  </si>
  <si>
    <t xml:space="preserve">Cumulative Net cash flow </t>
  </si>
  <si>
    <t xml:space="preserve">Cumulative free cash flow </t>
  </si>
  <si>
    <t xml:space="preserve">Cumulative Net Cash Flow to repay the CAPEX </t>
  </si>
  <si>
    <t>Annual Total sales</t>
  </si>
  <si>
    <t>Annual sales on the aftermarket</t>
  </si>
  <si>
    <t>Magnus share</t>
  </si>
  <si>
    <t>Piece sold by Magnus to Manufacturers</t>
  </si>
  <si>
    <t>Piece sold by Magnus in the aftermarket</t>
  </si>
  <si>
    <t>Sales</t>
  </si>
  <si>
    <t>EBITDA/Sales</t>
  </si>
  <si>
    <t>EBITDA from sales</t>
  </si>
  <si>
    <t>EBITDA to repay the CAPEX</t>
  </si>
  <si>
    <t>Revenues computation must start from 2024</t>
  </si>
  <si>
    <t>Units sold in the market at the end of 2023</t>
  </si>
  <si>
    <t>Magnus has an initial market share of 5% and it increase of 2% every year</t>
  </si>
  <si>
    <t>Magnus has an initial aftermarket share of 5% and it increase of 2% every year</t>
  </si>
  <si>
    <t>The average price of the pieces sold by Magnus is 250€</t>
  </si>
  <si>
    <t>We start to sell when the indian factory is completed (17/02/26)</t>
  </si>
  <si>
    <t>Until project 3 is under realization, EBITDA/SALES=9%</t>
  </si>
  <si>
    <t>After completion of project 3 (23/06/26), EBITDA/SALES=14%</t>
  </si>
  <si>
    <t>The last row represent the earnings generated from selling the pieces on the market and aftermarket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</si>
</sst>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 &quot;€&quot;;[Red]\-#,##0.00\ &quot;€&quot;"/>
    <numFmt numFmtId="165" formatCode="_-* #,##0.00\ &quot;€&quot;_-;\-* #,##0.00\ &quot;€&quot;_-;_-* &quot;-&quot;??\ &quot;€&quot;_-;_-@_-"/>
    <numFmt numFmtId="166" formatCode="#,##0.00\ [$€-1];[Red]\-#,##0.00\ [$€-1]"/>
    <numFmt numFmtId="167" formatCode="&quot; &quot;* #,##0.00&quot; &quot;[$€]&quot; &quot;;&quot;-&quot;* #,##0.00&quot; &quot;[$€]&quot; &quot;;&quot; &quot;* &quot;-&quot;#&quot; &quot;[$€]&quot; &quot;;&quot; &quot;@&quot; &quot;"/>
    <numFmt numFmtId="168" formatCode="#,##0.00\ &quot;€&quot;"/>
    <numFmt numFmtId="169" formatCode="_-[$€-2]\ * #,##0.00_-;\-[$€-2]\ * #,##0.00_-;_-[$€-2]\ * &quot;-&quot;??_-;_-@_-"/>
  </numFmts>
  <fonts count="25">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color rgb="FF000000"/>
      <name val="Calibri"/>
      <family val="2"/>
    </font>
    <font>
      <b/>
      <sz val="14"/>
      <color theme="1"/>
      <name val="Calibri"/>
      <family val="2"/>
      <scheme val="minor"/>
    </font>
    <font>
      <i/>
      <sz val="11"/>
      <color theme="1"/>
      <name val="Calibri"/>
      <family val="2"/>
      <scheme val="minor"/>
    </font>
    <font>
      <sz val="8"/>
      <name val="Calibri"/>
      <family val="2"/>
      <scheme val="minor"/>
    </font>
    <font>
      <sz val="11"/>
      <color theme="1"/>
      <name val="Calibri"/>
      <family val="2"/>
      <scheme val="minor"/>
    </font>
    <font>
      <b/>
      <sz val="14"/>
      <color theme="0"/>
      <name val="Arial"/>
    </font>
    <font>
      <b/>
      <sz val="12"/>
      <color theme="1"/>
      <name val="Arial"/>
    </font>
    <font>
      <sz val="11"/>
      <color theme="1"/>
      <name val="Arial"/>
    </font>
    <font>
      <b/>
      <sz val="11"/>
      <color theme="0"/>
      <name val="Arial"/>
    </font>
    <font>
      <b/>
      <sz val="11"/>
      <color rgb="FF000000"/>
      <name val="Arial"/>
    </font>
    <font>
      <sz val="11"/>
      <color rgb="FF000000"/>
      <name val="Arial"/>
    </font>
    <font>
      <b/>
      <sz val="11"/>
      <name val="Arial"/>
    </font>
    <font>
      <sz val="11"/>
      <name val="Arial"/>
    </font>
    <font>
      <b/>
      <sz val="11"/>
      <color theme="1"/>
      <name val="Arial"/>
    </font>
    <font>
      <i/>
      <sz val="11"/>
      <color rgb="FF000000"/>
      <name val="Arial"/>
    </font>
    <font>
      <sz val="11"/>
      <color rgb="FFFF0000"/>
      <name val="Arial"/>
    </font>
    <font>
      <sz val="9"/>
      <color rgb="FF363636"/>
      <name val="Arial"/>
    </font>
    <font>
      <sz val="10"/>
      <color rgb="FF000000"/>
      <name val="Arial"/>
    </font>
    <font>
      <sz val="11"/>
      <color theme="0"/>
      <name val="Arial"/>
    </font>
    <font>
      <b/>
      <sz val="14"/>
      <color theme="1"/>
      <name val="Arial"/>
    </font>
    <font>
      <strike/>
      <sz val="11"/>
      <color theme="1"/>
      <name val="Arial"/>
    </font>
  </fonts>
  <fills count="11">
    <fill>
      <patternFill patternType="none"/>
    </fill>
    <fill>
      <patternFill patternType="gray125"/>
    </fill>
    <fill>
      <patternFill patternType="solid">
        <fgColor theme="4" tint="-0.249977111117893"/>
        <bgColor indexed="64"/>
      </patternFill>
    </fill>
    <fill>
      <patternFill patternType="solid">
        <fgColor theme="4" tint="0.79998168889431442"/>
        <bgColor indexed="64"/>
      </patternFill>
    </fill>
    <fill>
      <patternFill patternType="solid">
        <fgColor theme="0"/>
        <bgColor indexed="64"/>
      </patternFill>
    </fill>
    <fill>
      <patternFill patternType="solid">
        <fgColor rgb="FFDFE3E8"/>
        <bgColor indexed="64"/>
      </patternFill>
    </fill>
    <fill>
      <patternFill patternType="solid">
        <fgColor rgb="FFFFFFFF"/>
        <bgColor indexed="64"/>
      </patternFill>
    </fill>
    <fill>
      <patternFill patternType="solid">
        <fgColor theme="4" tint="0.39997558519241921"/>
        <bgColor indexed="64"/>
      </patternFill>
    </fill>
    <fill>
      <patternFill patternType="solid">
        <fgColor theme="4" tint="-0.499984740745262"/>
        <bgColor indexed="64"/>
      </patternFill>
    </fill>
    <fill>
      <patternFill patternType="solid">
        <fgColor rgb="FFC00000"/>
        <bgColor indexed="64"/>
      </patternFill>
    </fill>
    <fill>
      <patternFill patternType="solid">
        <fgColor theme="2"/>
        <bgColor indexed="64"/>
      </patternFill>
    </fill>
  </fills>
  <borders count="43">
    <border>
      <left/>
      <right/>
      <top/>
      <bottom/>
      <diagonal/>
    </border>
    <border>
      <left style="thin">
        <color rgb="FFB1BBCC"/>
      </left>
      <right style="thin">
        <color rgb="FFB1BBCC"/>
      </right>
      <top style="thin">
        <color rgb="FFB1BBCC"/>
      </top>
      <bottom style="thin">
        <color rgb="FFB1BBCC"/>
      </bottom>
      <diagonal/>
    </border>
    <border>
      <left/>
      <right style="thin">
        <color indexed="64"/>
      </right>
      <top style="thin">
        <color indexed="64"/>
      </top>
      <bottom/>
      <diagonal/>
    </border>
    <border>
      <left style="thin">
        <color indexed="64"/>
      </left>
      <right style="thin">
        <color rgb="FFB1BBCC"/>
      </right>
      <top style="thin">
        <color rgb="FFB1BBCC"/>
      </top>
      <bottom style="thin">
        <color rgb="FFB1BBCC"/>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right style="thin">
        <color rgb="FFB1BBCC"/>
      </right>
      <top style="thin">
        <color rgb="FFB1BBCC"/>
      </top>
      <bottom style="thin">
        <color rgb="FFB1BBCC"/>
      </bottom>
      <diagonal/>
    </border>
    <border>
      <left style="thin">
        <color rgb="FFB1BBCC"/>
      </left>
      <right style="thin">
        <color indexed="64"/>
      </right>
      <top style="thin">
        <color rgb="FFB1BBCC"/>
      </top>
      <bottom style="thin">
        <color rgb="FFB1BBCC"/>
      </bottom>
      <diagonal/>
    </border>
    <border>
      <left style="thin">
        <color indexed="64"/>
      </left>
      <right/>
      <top style="thin">
        <color indexed="64"/>
      </top>
      <bottom/>
      <diagonal/>
    </border>
    <border>
      <left/>
      <right/>
      <top style="thin">
        <color indexed="64"/>
      </top>
      <bottom/>
      <diagonal/>
    </border>
    <border>
      <left style="thin">
        <color indexed="64"/>
      </left>
      <right style="thin">
        <color rgb="FFB1BBCC"/>
      </right>
      <top style="thin">
        <color rgb="FFB1BBCC"/>
      </top>
      <bottom style="thin">
        <color indexed="64"/>
      </bottom>
      <diagonal/>
    </border>
    <border>
      <left style="thin">
        <color rgb="FFB1BBCC"/>
      </left>
      <right style="thin">
        <color rgb="FFB1BBCC"/>
      </right>
      <top style="thin">
        <color rgb="FFB1BBCC"/>
      </top>
      <bottom style="thin">
        <color indexed="64"/>
      </bottom>
      <diagonal/>
    </border>
    <border>
      <left style="thick">
        <color rgb="FF000000"/>
      </left>
      <right style="thick">
        <color rgb="FF000000"/>
      </right>
      <top style="thick">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ck">
        <color rgb="FF000000"/>
      </left>
      <right style="thick">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ck">
        <color rgb="FF000000"/>
      </left>
      <right style="thick">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right/>
      <top style="thin">
        <color indexed="64"/>
      </top>
      <bottom style="medium">
        <color indexed="64"/>
      </bottom>
      <diagonal/>
    </border>
    <border>
      <left style="thin">
        <color rgb="FFB1BBCC"/>
      </left>
      <right style="thin">
        <color rgb="FFB1BBCC"/>
      </right>
      <top style="thin">
        <color rgb="FFB1BBCC"/>
      </top>
      <bottom/>
      <diagonal/>
    </border>
    <border>
      <left style="thin">
        <color rgb="FFB1BBCC"/>
      </left>
      <right style="thin">
        <color rgb="FFB1BBCC"/>
      </right>
      <top/>
      <bottom style="thin">
        <color rgb="FFB1BBCC"/>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indexed="64"/>
      </right>
      <top style="thick">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ck">
        <color indexed="64"/>
      </right>
      <top style="thick">
        <color rgb="FF000000"/>
      </top>
      <bottom style="thin">
        <color rgb="FF000000"/>
      </bottom>
      <diagonal/>
    </border>
    <border>
      <left style="thin">
        <color indexed="64"/>
      </left>
      <right style="thick">
        <color indexed="64"/>
      </right>
      <top style="thin">
        <color rgb="FF000000"/>
      </top>
      <bottom style="thin">
        <color rgb="FF000000"/>
      </bottom>
      <diagonal/>
    </border>
    <border>
      <left style="thick">
        <color rgb="FF000000"/>
      </left>
      <right style="thin">
        <color rgb="FF000000"/>
      </right>
      <top/>
      <bottom style="thick">
        <color rgb="FF000000"/>
      </bottom>
      <diagonal/>
    </border>
    <border>
      <left style="thin">
        <color rgb="FF000000"/>
      </left>
      <right style="thin">
        <color rgb="FF000000"/>
      </right>
      <top/>
      <bottom style="thick">
        <color rgb="FF000000"/>
      </bottom>
      <diagonal/>
    </border>
    <border>
      <left style="thin">
        <color rgb="FF000000"/>
      </left>
      <right style="thick">
        <color rgb="FF000000"/>
      </right>
      <top/>
      <bottom style="thick">
        <color rgb="FF000000"/>
      </bottom>
      <diagonal/>
    </border>
    <border>
      <left/>
      <right style="thin">
        <color rgb="FF000000"/>
      </right>
      <top style="thin">
        <color rgb="FF000000"/>
      </top>
      <bottom style="thick">
        <color rgb="FF000000"/>
      </bottom>
      <diagonal/>
    </border>
    <border>
      <left style="thin">
        <color rgb="FF000000"/>
      </left>
      <right style="thin">
        <color indexed="64"/>
      </right>
      <top style="thin">
        <color rgb="FF000000"/>
      </top>
      <bottom style="thick">
        <color rgb="FF000000"/>
      </bottom>
      <diagonal/>
    </border>
    <border>
      <left style="thin">
        <color indexed="64"/>
      </left>
      <right style="thick">
        <color indexed="64"/>
      </right>
      <top style="thin">
        <color rgb="FF000000"/>
      </top>
      <bottom style="thick">
        <color rgb="FF000000"/>
      </bottom>
      <diagonal/>
    </border>
  </borders>
  <cellStyleXfs count="2">
    <xf numFmtId="0" fontId="0" fillId="0" borderId="0"/>
    <xf numFmtId="9" fontId="8" fillId="0" borderId="0" applyFont="0" applyFill="0" applyBorder="0" applyAlignment="0" applyProtection="0"/>
  </cellStyleXfs>
  <cellXfs count="189">
    <xf numFmtId="0" fontId="0" fillId="0" borderId="0" xfId="0"/>
    <xf numFmtId="0" fontId="2" fillId="0" borderId="0" xfId="0" applyFont="1"/>
    <xf numFmtId="0" fontId="5" fillId="0" borderId="0" xfId="0" applyFont="1"/>
    <xf numFmtId="0" fontId="4" fillId="6" borderId="1" xfId="0" applyFont="1" applyFill="1" applyBorder="1"/>
    <xf numFmtId="3" fontId="0" fillId="0" borderId="0" xfId="0" applyNumberFormat="1"/>
    <xf numFmtId="0" fontId="1" fillId="2" borderId="0" xfId="0" applyFont="1" applyFill="1"/>
    <xf numFmtId="17" fontId="3" fillId="2" borderId="0" xfId="0" applyNumberFormat="1" applyFont="1" applyFill="1"/>
    <xf numFmtId="3" fontId="2" fillId="0" borderId="0" xfId="0" applyNumberFormat="1" applyFont="1"/>
    <xf numFmtId="3" fontId="6" fillId="0" borderId="0" xfId="0" applyNumberFormat="1" applyFont="1"/>
    <xf numFmtId="0" fontId="6" fillId="0" borderId="0" xfId="0" applyFont="1"/>
    <xf numFmtId="0" fontId="4" fillId="6" borderId="0" xfId="0" applyFont="1" applyFill="1"/>
    <xf numFmtId="0" fontId="9" fillId="2" borderId="0" xfId="0" applyFont="1" applyFill="1" applyAlignment="1">
      <alignment horizontal="center"/>
    </xf>
    <xf numFmtId="0" fontId="10" fillId="0" borderId="0" xfId="0" applyFont="1"/>
    <xf numFmtId="0" fontId="11" fillId="0" borderId="0" xfId="0" applyFont="1"/>
    <xf numFmtId="0" fontId="12" fillId="2" borderId="0" xfId="0" applyFont="1" applyFill="1" applyAlignment="1">
      <alignment wrapText="1"/>
    </xf>
    <xf numFmtId="0" fontId="12" fillId="2" borderId="0" xfId="0" applyFont="1" applyFill="1" applyAlignment="1">
      <alignment horizontal="right" vertical="center" wrapText="1"/>
    </xf>
    <xf numFmtId="0" fontId="13" fillId="3" borderId="0" xfId="0" applyFont="1" applyFill="1" applyAlignment="1">
      <alignment vertical="center" wrapText="1"/>
    </xf>
    <xf numFmtId="1" fontId="13" fillId="3" borderId="0" xfId="0" applyNumberFormat="1" applyFont="1" applyFill="1" applyAlignment="1">
      <alignment vertical="center" wrapText="1"/>
    </xf>
    <xf numFmtId="1" fontId="15" fillId="3" borderId="0" xfId="0" applyNumberFormat="1" applyFont="1" applyFill="1" applyAlignment="1">
      <alignment vertical="center" wrapText="1"/>
    </xf>
    <xf numFmtId="9" fontId="13" fillId="3" borderId="0" xfId="0" applyNumberFormat="1" applyFont="1" applyFill="1" applyAlignment="1">
      <alignment vertical="center" wrapText="1"/>
    </xf>
    <xf numFmtId="0" fontId="11" fillId="0" borderId="0" xfId="0" applyFont="1" applyAlignment="1">
      <alignment vertical="center"/>
    </xf>
    <xf numFmtId="1" fontId="15" fillId="3" borderId="0" xfId="0" applyNumberFormat="1" applyFont="1" applyFill="1" applyAlignment="1">
      <alignment horizontal="right" vertical="center" wrapText="1"/>
    </xf>
    <xf numFmtId="1" fontId="13" fillId="3" borderId="0" xfId="0" applyNumberFormat="1" applyFont="1" applyFill="1" applyAlignment="1">
      <alignment horizontal="right" vertical="center" wrapText="1"/>
    </xf>
    <xf numFmtId="9" fontId="13" fillId="3" borderId="0" xfId="0" applyNumberFormat="1" applyFont="1" applyFill="1" applyAlignment="1">
      <alignment horizontal="right" vertical="center" wrapText="1"/>
    </xf>
    <xf numFmtId="0" fontId="15" fillId="4" borderId="0" xfId="0" applyFont="1" applyFill="1" applyAlignment="1">
      <alignment vertical="center" wrapText="1"/>
    </xf>
    <xf numFmtId="1" fontId="15" fillId="4" borderId="0" xfId="0" applyNumberFormat="1" applyFont="1" applyFill="1" applyAlignment="1">
      <alignment vertical="center" wrapText="1"/>
    </xf>
    <xf numFmtId="9" fontId="15" fillId="4" borderId="0" xfId="0" applyNumberFormat="1" applyFont="1" applyFill="1" applyAlignment="1">
      <alignment vertical="center" wrapText="1"/>
    </xf>
    <xf numFmtId="0" fontId="16" fillId="4" borderId="0" xfId="0" applyFont="1" applyFill="1" applyAlignment="1">
      <alignment vertical="center" wrapText="1"/>
    </xf>
    <xf numFmtId="1" fontId="16" fillId="4" borderId="0" xfId="0" applyNumberFormat="1" applyFont="1" applyFill="1" applyAlignment="1">
      <alignment vertical="center" wrapText="1"/>
    </xf>
    <xf numFmtId="1" fontId="16" fillId="4" borderId="0" xfId="0" applyNumberFormat="1" applyFont="1" applyFill="1" applyAlignment="1">
      <alignment horizontal="right" vertical="center" wrapText="1"/>
    </xf>
    <xf numFmtId="9" fontId="15" fillId="4" borderId="0" xfId="0" applyNumberFormat="1" applyFont="1" applyFill="1" applyAlignment="1">
      <alignment horizontal="right" vertical="center" wrapText="1"/>
    </xf>
    <xf numFmtId="0" fontId="16" fillId="3" borderId="0" xfId="0" applyFont="1" applyFill="1" applyAlignment="1">
      <alignment vertical="center" wrapText="1"/>
    </xf>
    <xf numFmtId="1" fontId="16" fillId="3" borderId="0" xfId="0" applyNumberFormat="1" applyFont="1" applyFill="1" applyAlignment="1">
      <alignment vertical="center" wrapText="1"/>
    </xf>
    <xf numFmtId="9" fontId="16" fillId="3" borderId="0" xfId="0" applyNumberFormat="1" applyFont="1" applyFill="1" applyAlignment="1">
      <alignment vertical="center" wrapText="1"/>
    </xf>
    <xf numFmtId="9" fontId="15" fillId="3" borderId="0" xfId="0" applyNumberFormat="1" applyFont="1" applyFill="1" applyAlignment="1">
      <alignment vertical="center" wrapText="1"/>
    </xf>
    <xf numFmtId="0" fontId="15" fillId="3" borderId="0" xfId="0" applyFont="1" applyFill="1" applyAlignment="1">
      <alignment vertical="center" wrapText="1"/>
    </xf>
    <xf numFmtId="1" fontId="16" fillId="3" borderId="0" xfId="0" applyNumberFormat="1" applyFont="1" applyFill="1" applyAlignment="1">
      <alignment horizontal="right" vertical="center" wrapText="1"/>
    </xf>
    <xf numFmtId="9" fontId="15" fillId="3" borderId="0" xfId="0" applyNumberFormat="1" applyFont="1" applyFill="1" applyAlignment="1">
      <alignment horizontal="right" vertical="center" wrapText="1"/>
    </xf>
    <xf numFmtId="9" fontId="16" fillId="4" borderId="0" xfId="0" applyNumberFormat="1" applyFont="1" applyFill="1" applyAlignment="1">
      <alignment vertical="center" wrapText="1"/>
    </xf>
    <xf numFmtId="9" fontId="16" fillId="4" borderId="0" xfId="0" applyNumberFormat="1" applyFont="1" applyFill="1" applyAlignment="1">
      <alignment horizontal="right" vertical="center" wrapText="1"/>
    </xf>
    <xf numFmtId="0" fontId="16" fillId="3" borderId="0" xfId="0" applyFont="1" applyFill="1" applyAlignment="1">
      <alignment horizontal="right" vertical="center" wrapText="1"/>
    </xf>
    <xf numFmtId="10" fontId="11" fillId="3" borderId="0" xfId="0" applyNumberFormat="1" applyFont="1" applyFill="1" applyAlignment="1">
      <alignment vertical="center"/>
    </xf>
    <xf numFmtId="0" fontId="12" fillId="8" borderId="9" xfId="0" applyFont="1" applyFill="1" applyBorder="1"/>
    <xf numFmtId="3" fontId="12" fillId="8" borderId="10" xfId="0" applyNumberFormat="1" applyFont="1" applyFill="1" applyBorder="1"/>
    <xf numFmtId="0" fontId="12" fillId="8" borderId="10" xfId="0" applyFont="1" applyFill="1" applyBorder="1"/>
    <xf numFmtId="0" fontId="12" fillId="8" borderId="2" xfId="0" applyFont="1" applyFill="1" applyBorder="1"/>
    <xf numFmtId="0" fontId="13" fillId="7" borderId="3" xfId="0" applyFont="1" applyFill="1" applyBorder="1"/>
    <xf numFmtId="0" fontId="11" fillId="7" borderId="1" xfId="0" applyFont="1" applyFill="1" applyBorder="1"/>
    <xf numFmtId="0" fontId="17" fillId="7" borderId="26" xfId="0" applyFont="1" applyFill="1" applyBorder="1"/>
    <xf numFmtId="17" fontId="11" fillId="7" borderId="4" xfId="0" applyNumberFormat="1" applyFont="1" applyFill="1" applyBorder="1"/>
    <xf numFmtId="0" fontId="17" fillId="0" borderId="5" xfId="0" applyFont="1" applyBorder="1"/>
    <xf numFmtId="14" fontId="11" fillId="0" borderId="0" xfId="0" applyNumberFormat="1" applyFont="1"/>
    <xf numFmtId="3" fontId="15" fillId="0" borderId="0" xfId="0" applyNumberFormat="1" applyFont="1"/>
    <xf numFmtId="0" fontId="11" fillId="0" borderId="4" xfId="0" applyFont="1" applyBorder="1"/>
    <xf numFmtId="0" fontId="17" fillId="0" borderId="0" xfId="0" applyFont="1"/>
    <xf numFmtId="3" fontId="17" fillId="0" borderId="0" xfId="0" applyNumberFormat="1" applyFont="1"/>
    <xf numFmtId="3" fontId="17" fillId="0" borderId="4" xfId="0" applyNumberFormat="1" applyFont="1" applyBorder="1"/>
    <xf numFmtId="3" fontId="11" fillId="0" borderId="4" xfId="0" applyNumberFormat="1" applyFont="1" applyBorder="1"/>
    <xf numFmtId="0" fontId="17" fillId="7" borderId="3" xfId="0" applyFont="1" applyFill="1" applyBorder="1"/>
    <xf numFmtId="0" fontId="11" fillId="0" borderId="5" xfId="0" applyFont="1" applyBorder="1"/>
    <xf numFmtId="3" fontId="11" fillId="0" borderId="0" xfId="0" applyNumberFormat="1" applyFont="1"/>
    <xf numFmtId="0" fontId="13" fillId="6" borderId="8" xfId="0" applyFont="1" applyFill="1" applyBorder="1"/>
    <xf numFmtId="3" fontId="15" fillId="0" borderId="4" xfId="0" applyNumberFormat="1" applyFont="1" applyBorder="1"/>
    <xf numFmtId="0" fontId="17" fillId="7" borderId="1" xfId="0" applyFont="1" applyFill="1" applyBorder="1"/>
    <xf numFmtId="0" fontId="14" fillId="6" borderId="8" xfId="0" applyFont="1" applyFill="1" applyBorder="1"/>
    <xf numFmtId="0" fontId="17" fillId="7" borderId="11" xfId="0" applyFont="1" applyFill="1" applyBorder="1"/>
    <xf numFmtId="0" fontId="17" fillId="7" borderId="12" xfId="0" applyFont="1" applyFill="1" applyBorder="1"/>
    <xf numFmtId="17" fontId="11" fillId="7" borderId="6" xfId="0" applyNumberFormat="1" applyFont="1" applyFill="1" applyBorder="1"/>
    <xf numFmtId="3" fontId="12" fillId="8" borderId="2" xfId="0" applyNumberFormat="1" applyFont="1" applyFill="1" applyBorder="1"/>
    <xf numFmtId="0" fontId="14" fillId="7" borderId="1" xfId="0" applyFont="1" applyFill="1" applyBorder="1"/>
    <xf numFmtId="0" fontId="13" fillId="7" borderId="1" xfId="0" applyFont="1" applyFill="1" applyBorder="1"/>
    <xf numFmtId="17" fontId="14" fillId="7" borderId="4" xfId="0" applyNumberFormat="1" applyFont="1" applyFill="1" applyBorder="1"/>
    <xf numFmtId="17" fontId="11" fillId="0" borderId="0" xfId="0" applyNumberFormat="1" applyFont="1"/>
    <xf numFmtId="9" fontId="11" fillId="0" borderId="4" xfId="0" applyNumberFormat="1" applyFont="1" applyBorder="1"/>
    <xf numFmtId="0" fontId="18" fillId="6" borderId="3" xfId="0" applyFont="1" applyFill="1" applyBorder="1"/>
    <xf numFmtId="0" fontId="14" fillId="6" borderId="1" xfId="0" applyFont="1" applyFill="1" applyBorder="1"/>
    <xf numFmtId="0" fontId="14" fillId="0" borderId="0" xfId="0" applyFont="1"/>
    <xf numFmtId="0" fontId="14" fillId="0" borderId="4" xfId="0" applyFont="1" applyBorder="1"/>
    <xf numFmtId="0" fontId="14" fillId="0" borderId="5" xfId="0" applyFont="1" applyBorder="1"/>
    <xf numFmtId="14" fontId="14" fillId="0" borderId="0" xfId="0" applyNumberFormat="1" applyFont="1"/>
    <xf numFmtId="3" fontId="14" fillId="0" borderId="0" xfId="0" applyNumberFormat="1" applyFont="1"/>
    <xf numFmtId="0" fontId="13" fillId="0" borderId="5" xfId="0" applyFont="1" applyBorder="1"/>
    <xf numFmtId="3" fontId="14" fillId="0" borderId="4" xfId="0" applyNumberFormat="1" applyFont="1" applyBorder="1"/>
    <xf numFmtId="1" fontId="19" fillId="0" borderId="0" xfId="0" applyNumberFormat="1" applyFont="1"/>
    <xf numFmtId="0" fontId="15" fillId="0" borderId="5" xfId="0" applyFont="1" applyBorder="1"/>
    <xf numFmtId="0" fontId="13" fillId="6" borderId="3" xfId="0" applyFont="1" applyFill="1" applyBorder="1"/>
    <xf numFmtId="0" fontId="13" fillId="6" borderId="11" xfId="0" applyFont="1" applyFill="1" applyBorder="1"/>
    <xf numFmtId="3" fontId="11" fillId="0" borderId="6" xfId="0" applyNumberFormat="1" applyFont="1" applyBorder="1"/>
    <xf numFmtId="0" fontId="14" fillId="6" borderId="27" xfId="0" applyFont="1" applyFill="1" applyBorder="1"/>
    <xf numFmtId="0" fontId="17" fillId="0" borderId="10" xfId="0" applyFont="1" applyBorder="1"/>
    <xf numFmtId="17" fontId="11" fillId="0" borderId="10" xfId="0" applyNumberFormat="1" applyFont="1" applyBorder="1"/>
    <xf numFmtId="0" fontId="14" fillId="6" borderId="7" xfId="0" applyFont="1" applyFill="1" applyBorder="1"/>
    <xf numFmtId="0" fontId="17" fillId="0" borderId="28" xfId="0" applyFont="1" applyBorder="1"/>
    <xf numFmtId="0" fontId="11" fillId="0" borderId="30" xfId="0" applyFont="1" applyBorder="1"/>
    <xf numFmtId="0" fontId="17" fillId="0" borderId="32" xfId="0" applyFont="1" applyBorder="1"/>
    <xf numFmtId="14" fontId="11" fillId="0" borderId="29" xfId="0" applyNumberFormat="1" applyFont="1" applyBorder="1"/>
    <xf numFmtId="0" fontId="11" fillId="0" borderId="29" xfId="0" applyFont="1" applyBorder="1"/>
    <xf numFmtId="3" fontId="15" fillId="0" borderId="6" xfId="0" applyNumberFormat="1" applyFont="1" applyBorder="1"/>
    <xf numFmtId="0" fontId="11" fillId="0" borderId="31" xfId="0" applyFont="1" applyBorder="1"/>
    <xf numFmtId="0" fontId="13" fillId="6" borderId="0" xfId="0" applyFont="1" applyFill="1" applyAlignment="1">
      <alignment vertical="center" wrapText="1"/>
    </xf>
    <xf numFmtId="0" fontId="13" fillId="6" borderId="0" xfId="0" applyFont="1" applyFill="1"/>
    <xf numFmtId="165" fontId="11" fillId="0" borderId="0" xfId="0" applyNumberFormat="1" applyFont="1"/>
    <xf numFmtId="0" fontId="20" fillId="5" borderId="1" xfId="0" applyFont="1" applyFill="1" applyBorder="1"/>
    <xf numFmtId="0" fontId="20" fillId="5" borderId="1" xfId="0" applyFont="1" applyFill="1" applyBorder="1" applyAlignment="1">
      <alignment vertical="center" wrapText="1"/>
    </xf>
    <xf numFmtId="0" fontId="13" fillId="6" borderId="1" xfId="0" applyFont="1" applyFill="1" applyBorder="1" applyAlignment="1">
      <alignment horizontal="left" vertical="center" wrapText="1"/>
    </xf>
    <xf numFmtId="0" fontId="13" fillId="6" borderId="1" xfId="0" applyFont="1" applyFill="1" applyBorder="1" applyAlignment="1">
      <alignment vertical="center" wrapText="1"/>
    </xf>
    <xf numFmtId="166" fontId="13" fillId="6" borderId="1" xfId="0" applyNumberFormat="1" applyFont="1" applyFill="1" applyBorder="1"/>
    <xf numFmtId="0" fontId="13" fillId="6" borderId="1" xfId="0" applyFont="1" applyFill="1" applyBorder="1"/>
    <xf numFmtId="14" fontId="13" fillId="0" borderId="1" xfId="0" applyNumberFormat="1" applyFont="1" applyBorder="1" applyAlignment="1">
      <alignment vertical="center"/>
    </xf>
    <xf numFmtId="164" fontId="13" fillId="0" borderId="1" xfId="0" applyNumberFormat="1" applyFont="1" applyBorder="1" applyAlignment="1">
      <alignment vertical="center"/>
    </xf>
    <xf numFmtId="14" fontId="13" fillId="6" borderId="1" xfId="0" applyNumberFormat="1" applyFont="1" applyFill="1" applyBorder="1"/>
    <xf numFmtId="14" fontId="13" fillId="6" borderId="1" xfId="0" applyNumberFormat="1" applyFont="1" applyFill="1" applyBorder="1" applyAlignment="1">
      <alignment vertical="center" wrapText="1"/>
    </xf>
    <xf numFmtId="168" fontId="13" fillId="6" borderId="1" xfId="0" applyNumberFormat="1" applyFont="1" applyFill="1" applyBorder="1"/>
    <xf numFmtId="168" fontId="11" fillId="0" borderId="0" xfId="0" applyNumberFormat="1" applyFont="1"/>
    <xf numFmtId="166" fontId="13" fillId="6" borderId="1" xfId="0" applyNumberFormat="1" applyFont="1" applyFill="1" applyBorder="1" applyAlignment="1">
      <alignment horizontal="right" vertical="center" wrapText="1"/>
    </xf>
    <xf numFmtId="14" fontId="14" fillId="6" borderId="1" xfId="0" applyNumberFormat="1" applyFont="1" applyFill="1" applyBorder="1" applyAlignment="1">
      <alignment vertical="center" wrapText="1"/>
    </xf>
    <xf numFmtId="164" fontId="14" fillId="0" borderId="1" xfId="0" applyNumberFormat="1" applyFont="1" applyBorder="1" applyAlignment="1">
      <alignment vertical="center"/>
    </xf>
    <xf numFmtId="0" fontId="14" fillId="6" borderId="1" xfId="0" applyFont="1" applyFill="1" applyBorder="1" applyAlignment="1">
      <alignment vertical="center" wrapText="1"/>
    </xf>
    <xf numFmtId="14" fontId="14" fillId="0" borderId="1" xfId="0" applyNumberFormat="1" applyFont="1" applyBorder="1" applyAlignment="1">
      <alignment vertical="center"/>
    </xf>
    <xf numFmtId="166" fontId="14" fillId="6" borderId="1" xfId="0" applyNumberFormat="1" applyFont="1" applyFill="1" applyBorder="1" applyAlignment="1">
      <alignment horizontal="right" vertical="center" wrapText="1"/>
    </xf>
    <xf numFmtId="168" fontId="14" fillId="6" borderId="1" xfId="0" applyNumberFormat="1" applyFont="1" applyFill="1" applyBorder="1"/>
    <xf numFmtId="0" fontId="14" fillId="0" borderId="1" xfId="0" applyFont="1" applyBorder="1" applyAlignment="1">
      <alignment vertical="center"/>
    </xf>
    <xf numFmtId="168" fontId="14" fillId="0" borderId="1" xfId="0" applyNumberFormat="1" applyFont="1" applyBorder="1" applyAlignment="1">
      <alignment vertical="center"/>
    </xf>
    <xf numFmtId="164" fontId="13" fillId="6" borderId="1" xfId="0" applyNumberFormat="1" applyFont="1" applyFill="1" applyBorder="1" applyAlignment="1">
      <alignment horizontal="right" vertical="center" wrapText="1"/>
    </xf>
    <xf numFmtId="164" fontId="14" fillId="6" borderId="1" xfId="0" applyNumberFormat="1" applyFont="1" applyFill="1" applyBorder="1" applyAlignment="1">
      <alignment horizontal="right" vertical="center" wrapText="1"/>
    </xf>
    <xf numFmtId="166" fontId="21" fillId="6" borderId="1" xfId="0" applyNumberFormat="1" applyFont="1" applyFill="1" applyBorder="1" applyAlignment="1">
      <alignment horizontal="right" vertical="center" wrapText="1"/>
    </xf>
    <xf numFmtId="0" fontId="13" fillId="0" borderId="1" xfId="0" applyFont="1" applyBorder="1" applyAlignment="1">
      <alignment vertical="center"/>
    </xf>
    <xf numFmtId="0" fontId="21" fillId="6" borderId="1" xfId="0" applyFont="1" applyFill="1" applyBorder="1" applyAlignment="1">
      <alignment vertical="center" wrapText="1"/>
    </xf>
    <xf numFmtId="164" fontId="21" fillId="6" borderId="1" xfId="0" applyNumberFormat="1" applyFont="1" applyFill="1" applyBorder="1" applyAlignment="1">
      <alignment horizontal="right" vertical="center" wrapText="1"/>
    </xf>
    <xf numFmtId="0" fontId="12" fillId="2" borderId="0" xfId="0" applyFont="1" applyFill="1"/>
    <xf numFmtId="0" fontId="22" fillId="2" borderId="0" xfId="0" applyFont="1" applyFill="1"/>
    <xf numFmtId="1" fontId="22" fillId="2" borderId="0" xfId="0" applyNumberFormat="1" applyFont="1" applyFill="1"/>
    <xf numFmtId="17" fontId="22" fillId="2" borderId="0" xfId="0" applyNumberFormat="1" applyFont="1" applyFill="1"/>
    <xf numFmtId="17" fontId="22" fillId="0" borderId="0" xfId="0" applyNumberFormat="1" applyFont="1"/>
    <xf numFmtId="0" fontId="23" fillId="0" borderId="0" xfId="0" applyFont="1"/>
    <xf numFmtId="0" fontId="17" fillId="0" borderId="25" xfId="0" applyFont="1" applyBorder="1"/>
    <xf numFmtId="168" fontId="11" fillId="0" borderId="25" xfId="0" applyNumberFormat="1" applyFont="1" applyBorder="1"/>
    <xf numFmtId="168" fontId="17" fillId="0" borderId="25" xfId="0" applyNumberFormat="1" applyFont="1" applyBorder="1"/>
    <xf numFmtId="168" fontId="11" fillId="10" borderId="0" xfId="0" applyNumberFormat="1" applyFont="1" applyFill="1"/>
    <xf numFmtId="164" fontId="11" fillId="0" borderId="0" xfId="0" applyNumberFormat="1" applyFont="1"/>
    <xf numFmtId="168" fontId="17" fillId="0" borderId="0" xfId="0" applyNumberFormat="1" applyFont="1"/>
    <xf numFmtId="0" fontId="11" fillId="10" borderId="0" xfId="0" applyFont="1" applyFill="1"/>
    <xf numFmtId="9" fontId="11" fillId="10" borderId="0" xfId="0" applyNumberFormat="1" applyFont="1" applyFill="1"/>
    <xf numFmtId="0" fontId="11" fillId="10" borderId="0" xfId="0" applyFont="1" applyFill="1" applyAlignment="1">
      <alignment wrapText="1"/>
    </xf>
    <xf numFmtId="10" fontId="11" fillId="10" borderId="0" xfId="0" applyNumberFormat="1" applyFont="1" applyFill="1"/>
    <xf numFmtId="164" fontId="11" fillId="10" borderId="0" xfId="0" applyNumberFormat="1" applyFont="1" applyFill="1"/>
    <xf numFmtId="2" fontId="11" fillId="10" borderId="0" xfId="0" applyNumberFormat="1" applyFont="1" applyFill="1"/>
    <xf numFmtId="169" fontId="11" fillId="0" borderId="0" xfId="0" applyNumberFormat="1" applyFont="1"/>
    <xf numFmtId="9" fontId="11" fillId="0" borderId="0" xfId="1" applyFont="1"/>
    <xf numFmtId="10" fontId="11" fillId="0" borderId="0" xfId="0" applyNumberFormat="1" applyFont="1"/>
    <xf numFmtId="0" fontId="11" fillId="0" borderId="13" xfId="0" applyFont="1" applyBorder="1"/>
    <xf numFmtId="0" fontId="11" fillId="0" borderId="14" xfId="0" applyFont="1" applyBorder="1"/>
    <xf numFmtId="0" fontId="11" fillId="0" borderId="15" xfId="0" applyFont="1" applyBorder="1"/>
    <xf numFmtId="0" fontId="11" fillId="0" borderId="16" xfId="0" applyFont="1" applyBorder="1"/>
    <xf numFmtId="0" fontId="11" fillId="0" borderId="17" xfId="0" applyFont="1" applyBorder="1"/>
    <xf numFmtId="2" fontId="11" fillId="9" borderId="18" xfId="0" applyNumberFormat="1" applyFont="1" applyFill="1" applyBorder="1"/>
    <xf numFmtId="2" fontId="11" fillId="0" borderId="19" xfId="0" applyNumberFormat="1" applyFont="1" applyBorder="1"/>
    <xf numFmtId="2" fontId="11" fillId="0" borderId="33" xfId="0" applyNumberFormat="1" applyFont="1" applyBorder="1"/>
    <xf numFmtId="2" fontId="11" fillId="0" borderId="35" xfId="0" applyNumberFormat="1" applyFont="1" applyBorder="1"/>
    <xf numFmtId="0" fontId="11" fillId="0" borderId="20" xfId="0" applyFont="1" applyBorder="1"/>
    <xf numFmtId="2" fontId="11" fillId="9" borderId="21" xfId="0" applyNumberFormat="1" applyFont="1" applyFill="1" applyBorder="1"/>
    <xf numFmtId="2" fontId="11" fillId="0" borderId="22" xfId="0" applyNumberFormat="1" applyFont="1" applyBorder="1"/>
    <xf numFmtId="2" fontId="11" fillId="0" borderId="34" xfId="0" applyNumberFormat="1" applyFont="1" applyBorder="1"/>
    <xf numFmtId="2" fontId="11" fillId="0" borderId="36" xfId="0" applyNumberFormat="1" applyFont="1" applyBorder="1"/>
    <xf numFmtId="10" fontId="11" fillId="9" borderId="21" xfId="0" applyNumberFormat="1" applyFont="1" applyFill="1" applyBorder="1"/>
    <xf numFmtId="10" fontId="11" fillId="0" borderId="22" xfId="0" applyNumberFormat="1" applyFont="1" applyBorder="1"/>
    <xf numFmtId="10" fontId="11" fillId="0" borderId="34" xfId="0" applyNumberFormat="1" applyFont="1" applyBorder="1"/>
    <xf numFmtId="10" fontId="11" fillId="0" borderId="36" xfId="0" applyNumberFormat="1" applyFont="1" applyBorder="1"/>
    <xf numFmtId="0" fontId="11" fillId="9" borderId="21" xfId="0" applyFont="1" applyFill="1" applyBorder="1"/>
    <xf numFmtId="0" fontId="11" fillId="0" borderId="21" xfId="0" applyFont="1" applyBorder="1"/>
    <xf numFmtId="0" fontId="11" fillId="0" borderId="22" xfId="0" applyFont="1" applyBorder="1"/>
    <xf numFmtId="0" fontId="11" fillId="0" borderId="34" xfId="0" applyFont="1" applyBorder="1"/>
    <xf numFmtId="0" fontId="11" fillId="0" borderId="36" xfId="0" applyFont="1" applyBorder="1"/>
    <xf numFmtId="167" fontId="11" fillId="9" borderId="21" xfId="0" applyNumberFormat="1" applyFont="1" applyFill="1" applyBorder="1"/>
    <xf numFmtId="167" fontId="11" fillId="0" borderId="22" xfId="0" applyNumberFormat="1" applyFont="1" applyBorder="1"/>
    <xf numFmtId="167" fontId="11" fillId="0" borderId="34" xfId="0" applyNumberFormat="1" applyFont="1" applyBorder="1"/>
    <xf numFmtId="167" fontId="11" fillId="0" borderId="36" xfId="0" applyNumberFormat="1" applyFont="1" applyBorder="1"/>
    <xf numFmtId="0" fontId="11" fillId="0" borderId="23" xfId="0" applyFont="1" applyBorder="1"/>
    <xf numFmtId="167" fontId="11" fillId="9" borderId="40" xfId="0" applyNumberFormat="1" applyFont="1" applyFill="1" applyBorder="1"/>
    <xf numFmtId="167" fontId="11" fillId="0" borderId="24" xfId="0" applyNumberFormat="1" applyFont="1" applyBorder="1"/>
    <xf numFmtId="167" fontId="11" fillId="0" borderId="41" xfId="0" applyNumberFormat="1" applyFont="1" applyBorder="1"/>
    <xf numFmtId="167" fontId="11" fillId="0" borderId="42" xfId="0" applyNumberFormat="1" applyFont="1" applyBorder="1"/>
    <xf numFmtId="0" fontId="24" fillId="0" borderId="23" xfId="0" applyFont="1" applyBorder="1"/>
    <xf numFmtId="167" fontId="24" fillId="9" borderId="37" xfId="0" applyNumberFormat="1" applyFont="1" applyFill="1" applyBorder="1"/>
    <xf numFmtId="167" fontId="24" fillId="0" borderId="38" xfId="0" applyNumberFormat="1" applyFont="1" applyBorder="1"/>
    <xf numFmtId="167" fontId="24" fillId="0" borderId="39" xfId="0" applyNumberFormat="1" applyFont="1" applyBorder="1"/>
    <xf numFmtId="0" fontId="11" fillId="0" borderId="0" xfId="0" applyFont="1" applyAlignment="1">
      <alignment wrapText="1"/>
    </xf>
    <xf numFmtId="3" fontId="11" fillId="10" borderId="0" xfId="0" applyNumberFormat="1" applyFont="1" applyFill="1" applyAlignment="1">
      <alignment horizontal="left"/>
    </xf>
    <xf numFmtId="0" fontId="11" fillId="10" borderId="0" xfId="0" applyFont="1" applyFill="1" applyAlignment="1">
      <alignment horizontal="left"/>
    </xf>
  </cellXfs>
  <cellStyles count="2">
    <cellStyle name="Normale" xfId="0" builtinId="0"/>
    <cellStyle name="Percentual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a:ea typeface="Arial"/>
                <a:cs typeface="Arial"/>
              </a:defRPr>
            </a:pPr>
            <a:r>
              <a:rPr lang="en-GB"/>
              <a:t>Cumulative cash flow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a:ea typeface="Arial"/>
              <a:cs typeface="Arial"/>
            </a:defRPr>
          </a:pPr>
          <a:endParaRPr lang="en-US"/>
        </a:p>
      </c:txPr>
    </c:title>
    <c:autoTitleDeleted val="0"/>
    <c:plotArea>
      <c:layout/>
      <c:lineChart>
        <c:grouping val="percentStacked"/>
        <c:varyColors val="0"/>
        <c:ser>
          <c:idx val="0"/>
          <c:order val="0"/>
          <c:tx>
            <c:strRef>
              <c:f>'Cash Flow graph'!$F$2</c:f>
              <c:strCache>
                <c:ptCount val="1"/>
                <c:pt idx="0">
                  <c:v>Cumulative Net cash flow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'Cash Flow graph'!$B$2:$B$13</c:f>
              <c:strCache>
                <c:ptCount val="12"/>
                <c:pt idx="0">
                  <c:v>Year</c:v>
                </c:pt>
                <c:pt idx="1">
                  <c:v>2024</c:v>
                </c:pt>
                <c:pt idx="2">
                  <c:v>2025</c:v>
                </c:pt>
                <c:pt idx="3">
                  <c:v>2026</c:v>
                </c:pt>
                <c:pt idx="4">
                  <c:v>2027</c:v>
                </c:pt>
                <c:pt idx="5">
                  <c:v>2028</c:v>
                </c:pt>
                <c:pt idx="6">
                  <c:v>2029</c:v>
                </c:pt>
                <c:pt idx="7">
                  <c:v>2030</c:v>
                </c:pt>
                <c:pt idx="8">
                  <c:v>2031</c:v>
                </c:pt>
                <c:pt idx="9">
                  <c:v>2032</c:v>
                </c:pt>
                <c:pt idx="10">
                  <c:v>2033</c:v>
                </c:pt>
                <c:pt idx="11">
                  <c:v>2034</c:v>
                </c:pt>
              </c:strCache>
            </c:strRef>
          </c:cat>
          <c:val>
            <c:numRef>
              <c:f>'Cash Flow graph'!$F$3:$F$13</c:f>
              <c:numCache>
                <c:formatCode>0%</c:formatCode>
                <c:ptCount val="11"/>
                <c:pt idx="0">
                  <c:v>-0.13669740917584325</c:v>
                </c:pt>
                <c:pt idx="1">
                  <c:v>-0.16890260381417485</c:v>
                </c:pt>
                <c:pt idx="2">
                  <c:v>-0.14600682925117101</c:v>
                </c:pt>
                <c:pt idx="3">
                  <c:v>-9.5063950528987223E-2</c:v>
                </c:pt>
                <c:pt idx="4">
                  <c:v>-2.2055498457592582E-2</c:v>
                </c:pt>
                <c:pt idx="5">
                  <c:v>7.4990492412852938E-2</c:v>
                </c:pt>
                <c:pt idx="6">
                  <c:v>0.19818445713437738</c:v>
                </c:pt>
                <c:pt idx="7">
                  <c:v>0.34978405003461049</c:v>
                </c:pt>
                <c:pt idx="8">
                  <c:v>0.53220341532488158</c:v>
                </c:pt>
                <c:pt idx="9">
                  <c:v>0.7480230084934838</c:v>
                </c:pt>
                <c:pt idx="10">
                  <c:v>1</c:v>
                </c:pt>
              </c:numCache>
            </c:numRef>
          </c:val>
          <c:smooth val="0"/>
          <c:extLst>
            <c:ext xmlns:c16="http://schemas.microsoft.com/office/drawing/2014/chart" uri="{C3380CC4-5D6E-409C-BE32-E72D297353CC}">
              <c16:uniqueId val="{00000000-AAC3-4766-948A-7CBB62402B5B}"/>
            </c:ext>
          </c:extLst>
        </c:ser>
        <c:ser>
          <c:idx val="1"/>
          <c:order val="1"/>
          <c:tx>
            <c:strRef>
              <c:f>'Cash Flow graph'!$G$2</c:f>
              <c:strCache>
                <c:ptCount val="1"/>
                <c:pt idx="0">
                  <c:v>Cumulative free cash flow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'Cash Flow graph'!$B$2:$B$13</c:f>
              <c:strCache>
                <c:ptCount val="12"/>
                <c:pt idx="0">
                  <c:v>Year</c:v>
                </c:pt>
                <c:pt idx="1">
                  <c:v>2024</c:v>
                </c:pt>
                <c:pt idx="2">
                  <c:v>2025</c:v>
                </c:pt>
                <c:pt idx="3">
                  <c:v>2026</c:v>
                </c:pt>
                <c:pt idx="4">
                  <c:v>2027</c:v>
                </c:pt>
                <c:pt idx="5">
                  <c:v>2028</c:v>
                </c:pt>
                <c:pt idx="6">
                  <c:v>2029</c:v>
                </c:pt>
                <c:pt idx="7">
                  <c:v>2030</c:v>
                </c:pt>
                <c:pt idx="8">
                  <c:v>2031</c:v>
                </c:pt>
                <c:pt idx="9">
                  <c:v>2032</c:v>
                </c:pt>
                <c:pt idx="10">
                  <c:v>2033</c:v>
                </c:pt>
                <c:pt idx="11">
                  <c:v>2034</c:v>
                </c:pt>
              </c:strCache>
            </c:strRef>
          </c:cat>
          <c:val>
            <c:numRef>
              <c:f>'Cash Flow graph'!$G$3:$G$13</c:f>
              <c:numCache>
                <c:formatCode>0%</c:formatCode>
                <c:ptCount val="11"/>
                <c:pt idx="0">
                  <c:v>-0.1665920756313973</c:v>
                </c:pt>
                <c:pt idx="1">
                  <c:v>-0.21496754880298971</c:v>
                </c:pt>
                <c:pt idx="2">
                  <c:v>-0.20100489085108278</c:v>
                </c:pt>
                <c:pt idx="3">
                  <c:v>-0.1553113199578654</c:v>
                </c:pt>
                <c:pt idx="4">
                  <c:v>-8.4654002969144465E-2</c:v>
                </c:pt>
                <c:pt idx="5">
                  <c:v>1.3198030687193968E-2</c:v>
                </c:pt>
                <c:pt idx="6">
                  <c:v>0.14063240828718276</c:v>
                </c:pt>
                <c:pt idx="7">
                  <c:v>0.3002033126981517</c:v>
                </c:pt>
                <c:pt idx="8">
                  <c:v>0.49464197062224813</c:v>
                </c:pt>
                <c:pt idx="9">
                  <c:v>0.72686776396725294</c:v>
                </c:pt>
                <c:pt idx="10">
                  <c:v>1</c:v>
                </c:pt>
              </c:numCache>
            </c:numRef>
          </c:val>
          <c:smooth val="0"/>
          <c:extLst>
            <c:ext xmlns:c16="http://schemas.microsoft.com/office/drawing/2014/chart" uri="{C3380CC4-5D6E-409C-BE32-E72D297353CC}">
              <c16:uniqueId val="{00000001-AAC3-4766-948A-7CBB62402B5B}"/>
            </c:ext>
          </c:extLst>
        </c:ser>
        <c:ser>
          <c:idx val="2"/>
          <c:order val="2"/>
          <c:tx>
            <c:strRef>
              <c:f>'Cash Flow graph'!$H$2</c:f>
              <c:strCache>
                <c:ptCount val="1"/>
                <c:pt idx="0">
                  <c:v>Cumulative Net Cash Flow to repay the CAPEX </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'Cash Flow graph'!$B$2:$B$13</c:f>
              <c:strCache>
                <c:ptCount val="12"/>
                <c:pt idx="0">
                  <c:v>Year</c:v>
                </c:pt>
                <c:pt idx="1">
                  <c:v>2024</c:v>
                </c:pt>
                <c:pt idx="2">
                  <c:v>2025</c:v>
                </c:pt>
                <c:pt idx="3">
                  <c:v>2026</c:v>
                </c:pt>
                <c:pt idx="4">
                  <c:v>2027</c:v>
                </c:pt>
                <c:pt idx="5">
                  <c:v>2028</c:v>
                </c:pt>
                <c:pt idx="6">
                  <c:v>2029</c:v>
                </c:pt>
                <c:pt idx="7">
                  <c:v>2030</c:v>
                </c:pt>
                <c:pt idx="8">
                  <c:v>2031</c:v>
                </c:pt>
                <c:pt idx="9">
                  <c:v>2032</c:v>
                </c:pt>
                <c:pt idx="10">
                  <c:v>2033</c:v>
                </c:pt>
                <c:pt idx="11">
                  <c:v>2034</c:v>
                </c:pt>
              </c:strCache>
            </c:strRef>
          </c:cat>
          <c:val>
            <c:numRef>
              <c:f>'Cash Flow graph'!$H$3:$H$13</c:f>
              <c:numCache>
                <c:formatCode>0%</c:formatCode>
                <c:ptCount val="11"/>
                <c:pt idx="0">
                  <c:v>-0.32524984216972319</c:v>
                </c:pt>
                <c:pt idx="1">
                  <c:v>-0.36279715138936769</c:v>
                </c:pt>
                <c:pt idx="2">
                  <c:v>-0.33610348482424884</c:v>
                </c:pt>
                <c:pt idx="3">
                  <c:v>-0.27671033283739366</c:v>
                </c:pt>
                <c:pt idx="4">
                  <c:v>-0.19159142713422778</c:v>
                </c:pt>
                <c:pt idx="5">
                  <c:v>-7.8447697724735685E-2</c:v>
                </c:pt>
                <c:pt idx="6">
                  <c:v>6.5181363963577307E-2</c:v>
                </c:pt>
                <c:pt idx="7">
                  <c:v>0.24192790613234594</c:v>
                </c:pt>
                <c:pt idx="8">
                  <c:v>0.45460652500499155</c:v>
                </c:pt>
                <c:pt idx="9">
                  <c:v>0.7062257153673569</c:v>
                </c:pt>
                <c:pt idx="10">
                  <c:v>1</c:v>
                </c:pt>
              </c:numCache>
            </c:numRef>
          </c:val>
          <c:smooth val="0"/>
          <c:extLst>
            <c:ext xmlns:c16="http://schemas.microsoft.com/office/drawing/2014/chart" uri="{C3380CC4-5D6E-409C-BE32-E72D297353CC}">
              <c16:uniqueId val="{00000002-AAC3-4766-948A-7CBB62402B5B}"/>
            </c:ext>
          </c:extLst>
        </c:ser>
        <c:dLbls>
          <c:showLegendKey val="0"/>
          <c:showVal val="0"/>
          <c:showCatName val="0"/>
          <c:showSerName val="0"/>
          <c:showPercent val="0"/>
          <c:showBubbleSize val="0"/>
        </c:dLbls>
        <c:marker val="1"/>
        <c:smooth val="0"/>
        <c:axId val="1754555184"/>
        <c:axId val="1502803871"/>
      </c:lineChart>
      <c:catAx>
        <c:axId val="1754555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803871"/>
        <c:crosses val="autoZero"/>
        <c:auto val="1"/>
        <c:lblAlgn val="ctr"/>
        <c:lblOffset val="100"/>
        <c:noMultiLvlLbl val="0"/>
      </c:catAx>
      <c:valAx>
        <c:axId val="1502803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Cumulative Cash flow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555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a:ea typeface="Arial"/>
                <a:cs typeface="Arial"/>
              </a:defRPr>
            </a:pPr>
            <a:r>
              <a:rPr lang="en-GB"/>
              <a:t>Cash flow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a:ea typeface="Arial"/>
              <a:cs typeface="Arial"/>
            </a:defRPr>
          </a:pPr>
          <a:endParaRPr lang="en-US"/>
        </a:p>
      </c:txPr>
    </c:title>
    <c:autoTitleDeleted val="0"/>
    <c:plotArea>
      <c:layout/>
      <c:barChart>
        <c:barDir val="col"/>
        <c:grouping val="clustered"/>
        <c:varyColors val="0"/>
        <c:ser>
          <c:idx val="0"/>
          <c:order val="0"/>
          <c:tx>
            <c:strRef>
              <c:f>'Cash Flow graph'!$C$2</c:f>
              <c:strCache>
                <c:ptCount val="1"/>
                <c:pt idx="0">
                  <c:v>Net cash flow</c:v>
                </c:pt>
              </c:strCache>
            </c:strRef>
          </c:tx>
          <c:spPr>
            <a:solidFill>
              <a:schemeClr val="accent1"/>
            </a:solidFill>
            <a:ln>
              <a:noFill/>
            </a:ln>
            <a:effectLst/>
          </c:spPr>
          <c:invertIfNegative val="0"/>
          <c:cat>
            <c:numRef>
              <c:f>'Cash Flow graph'!$B$3:$B$13</c:f>
              <c:numCache>
                <c:formatCode>General</c:formatCode>
                <c:ptCount val="11"/>
                <c:pt idx="0">
                  <c:v>2024</c:v>
                </c:pt>
                <c:pt idx="1">
                  <c:v>2025</c:v>
                </c:pt>
                <c:pt idx="2">
                  <c:v>2026</c:v>
                </c:pt>
                <c:pt idx="3">
                  <c:v>2027</c:v>
                </c:pt>
                <c:pt idx="4">
                  <c:v>2028</c:v>
                </c:pt>
                <c:pt idx="5">
                  <c:v>2029</c:v>
                </c:pt>
                <c:pt idx="6">
                  <c:v>2030</c:v>
                </c:pt>
                <c:pt idx="7">
                  <c:v>2031</c:v>
                </c:pt>
                <c:pt idx="8">
                  <c:v>2032</c:v>
                </c:pt>
                <c:pt idx="9">
                  <c:v>2033</c:v>
                </c:pt>
                <c:pt idx="10">
                  <c:v>2034</c:v>
                </c:pt>
              </c:numCache>
            </c:numRef>
          </c:cat>
          <c:val>
            <c:numRef>
              <c:f>'Cash Flow graph'!$C$3:$C$13</c:f>
              <c:numCache>
                <c:formatCode>_-[$€-2]\ * #,##0.00_-;\-[$€-2]\ * #,##0.00_-;_-[$€-2]\ * "-"??_-;_-@_-</c:formatCode>
                <c:ptCount val="11"/>
                <c:pt idx="0">
                  <c:v>-16938999.692000002</c:v>
                </c:pt>
                <c:pt idx="1">
                  <c:v>-3990739.7319999998</c:v>
                </c:pt>
                <c:pt idx="2">
                  <c:v>2837153.3930970798</c:v>
                </c:pt>
                <c:pt idx="3">
                  <c:v>6312639.0777065083</c:v>
                </c:pt>
                <c:pt idx="4">
                  <c:v>9046917.2357166726</c:v>
                </c:pt>
                <c:pt idx="5">
                  <c:v>12025553.515426902</c:v>
                </c:pt>
                <c:pt idx="6">
                  <c:v>15265706.51964435</c:v>
                </c:pt>
                <c:pt idx="7">
                  <c:v>18785619.075933252</c:v>
                </c:pt>
                <c:pt idx="8">
                  <c:v>22604682.788770758</c:v>
                </c:pt>
                <c:pt idx="9">
                  <c:v>26743506.290655836</c:v>
                </c:pt>
                <c:pt idx="10">
                  <c:v>31223987.398542698</c:v>
                </c:pt>
              </c:numCache>
            </c:numRef>
          </c:val>
          <c:extLst>
            <c:ext xmlns:c16="http://schemas.microsoft.com/office/drawing/2014/chart" uri="{C3380CC4-5D6E-409C-BE32-E72D297353CC}">
              <c16:uniqueId val="{00000000-A3BC-4FD7-95DE-EBAB1AA53589}"/>
            </c:ext>
          </c:extLst>
        </c:ser>
        <c:ser>
          <c:idx val="1"/>
          <c:order val="1"/>
          <c:tx>
            <c:strRef>
              <c:f>'Cash Flow graph'!$D$2</c:f>
              <c:strCache>
                <c:ptCount val="1"/>
                <c:pt idx="0">
                  <c:v>Free Cash Flow</c:v>
                </c:pt>
              </c:strCache>
            </c:strRef>
          </c:tx>
          <c:spPr>
            <a:solidFill>
              <a:schemeClr val="accent3"/>
            </a:solidFill>
            <a:ln>
              <a:noFill/>
            </a:ln>
            <a:effectLst/>
          </c:spPr>
          <c:invertIfNegative val="0"/>
          <c:cat>
            <c:numRef>
              <c:f>'Cash Flow graph'!$B$3:$B$13</c:f>
              <c:numCache>
                <c:formatCode>General</c:formatCode>
                <c:ptCount val="11"/>
                <c:pt idx="0">
                  <c:v>2024</c:v>
                </c:pt>
                <c:pt idx="1">
                  <c:v>2025</c:v>
                </c:pt>
                <c:pt idx="2">
                  <c:v>2026</c:v>
                </c:pt>
                <c:pt idx="3">
                  <c:v>2027</c:v>
                </c:pt>
                <c:pt idx="4">
                  <c:v>2028</c:v>
                </c:pt>
                <c:pt idx="5">
                  <c:v>2029</c:v>
                </c:pt>
                <c:pt idx="6">
                  <c:v>2030</c:v>
                </c:pt>
                <c:pt idx="7">
                  <c:v>2031</c:v>
                </c:pt>
                <c:pt idx="8">
                  <c:v>2032</c:v>
                </c:pt>
                <c:pt idx="9">
                  <c:v>2033</c:v>
                </c:pt>
                <c:pt idx="10">
                  <c:v>2034</c:v>
                </c:pt>
              </c:numCache>
            </c:numRef>
          </c:cat>
          <c:val>
            <c:numRef>
              <c:f>'Cash Flow graph'!$D$3:$D$13</c:f>
              <c:numCache>
                <c:formatCode>#,##0.00\ "€"</c:formatCode>
                <c:ptCount val="11"/>
                <c:pt idx="0">
                  <c:v>-18246823.692000002</c:v>
                </c:pt>
                <c:pt idx="1">
                  <c:v>-5298563.7319999998</c:v>
                </c:pt>
                <c:pt idx="2">
                  <c:v>1529329.3930970798</c:v>
                </c:pt>
                <c:pt idx="3">
                  <c:v>5004815.0777065083</c:v>
                </c:pt>
                <c:pt idx="4">
                  <c:v>7739093.2357166726</c:v>
                </c:pt>
                <c:pt idx="5">
                  <c:v>10717729.515426902</c:v>
                </c:pt>
                <c:pt idx="6">
                  <c:v>13957882.51964435</c:v>
                </c:pt>
                <c:pt idx="7">
                  <c:v>17477795.075933252</c:v>
                </c:pt>
                <c:pt idx="8">
                  <c:v>21296858.788770758</c:v>
                </c:pt>
                <c:pt idx="9">
                  <c:v>25435682.290655836</c:v>
                </c:pt>
                <c:pt idx="10">
                  <c:v>29916163.398542698</c:v>
                </c:pt>
              </c:numCache>
            </c:numRef>
          </c:val>
          <c:extLst>
            <c:ext xmlns:c16="http://schemas.microsoft.com/office/drawing/2014/chart" uri="{C3380CC4-5D6E-409C-BE32-E72D297353CC}">
              <c16:uniqueId val="{00000001-A3BC-4FD7-95DE-EBAB1AA53589}"/>
            </c:ext>
          </c:extLst>
        </c:ser>
        <c:ser>
          <c:idx val="2"/>
          <c:order val="2"/>
          <c:tx>
            <c:strRef>
              <c:f>'Cash Flow graph'!$E$2</c:f>
              <c:strCache>
                <c:ptCount val="1"/>
                <c:pt idx="0">
                  <c:v>Net Cash Flow to repay the CAPEX</c:v>
                </c:pt>
              </c:strCache>
            </c:strRef>
          </c:tx>
          <c:spPr>
            <a:solidFill>
              <a:schemeClr val="accent5"/>
            </a:solidFill>
            <a:ln>
              <a:noFill/>
            </a:ln>
            <a:effectLst/>
          </c:spPr>
          <c:invertIfNegative val="0"/>
          <c:cat>
            <c:numRef>
              <c:f>'Cash Flow graph'!$B$3:$B$13</c:f>
              <c:numCache>
                <c:formatCode>General</c:formatCode>
                <c:ptCount val="11"/>
                <c:pt idx="0">
                  <c:v>2024</c:v>
                </c:pt>
                <c:pt idx="1">
                  <c:v>2025</c:v>
                </c:pt>
                <c:pt idx="2">
                  <c:v>2026</c:v>
                </c:pt>
                <c:pt idx="3">
                  <c:v>2027</c:v>
                </c:pt>
                <c:pt idx="4">
                  <c:v>2028</c:v>
                </c:pt>
                <c:pt idx="5">
                  <c:v>2029</c:v>
                </c:pt>
                <c:pt idx="6">
                  <c:v>2030</c:v>
                </c:pt>
                <c:pt idx="7">
                  <c:v>2031</c:v>
                </c:pt>
                <c:pt idx="8">
                  <c:v>2032</c:v>
                </c:pt>
                <c:pt idx="9">
                  <c:v>2033</c:v>
                </c:pt>
                <c:pt idx="10">
                  <c:v>2034</c:v>
                </c:pt>
              </c:numCache>
            </c:numRef>
          </c:cat>
          <c:val>
            <c:numRef>
              <c:f>'Cash Flow graph'!$E$3:$E$13</c:f>
              <c:numCache>
                <c:formatCode>#,##0.00\ "€"</c:formatCode>
                <c:ptCount val="11"/>
                <c:pt idx="0">
                  <c:v>-16938999.692000002</c:v>
                </c:pt>
                <c:pt idx="1">
                  <c:v>-1955462.4686799999</c:v>
                </c:pt>
                <c:pt idx="2">
                  <c:v>1390205.1626175691</c:v>
                </c:pt>
                <c:pt idx="3">
                  <c:v>3093193.1480761892</c:v>
                </c:pt>
                <c:pt idx="4">
                  <c:v>4432989.4455011692</c:v>
                </c:pt>
                <c:pt idx="5">
                  <c:v>5892521.222559182</c:v>
                </c:pt>
                <c:pt idx="6">
                  <c:v>7480196.1946257316</c:v>
                </c:pt>
                <c:pt idx="7">
                  <c:v>9204953.3472072929</c:v>
                </c:pt>
                <c:pt idx="8">
                  <c:v>11076294.56649767</c:v>
                </c:pt>
                <c:pt idx="9">
                  <c:v>13104318.082421361</c:v>
                </c:pt>
                <c:pt idx="10">
                  <c:v>15299753.825285923</c:v>
                </c:pt>
              </c:numCache>
            </c:numRef>
          </c:val>
          <c:extLst>
            <c:ext xmlns:c16="http://schemas.microsoft.com/office/drawing/2014/chart" uri="{C3380CC4-5D6E-409C-BE32-E72D297353CC}">
              <c16:uniqueId val="{00000002-A3BC-4FD7-95DE-EBAB1AA53589}"/>
            </c:ext>
          </c:extLst>
        </c:ser>
        <c:dLbls>
          <c:showLegendKey val="0"/>
          <c:showVal val="0"/>
          <c:showCatName val="0"/>
          <c:showSerName val="0"/>
          <c:showPercent val="0"/>
          <c:showBubbleSize val="0"/>
        </c:dLbls>
        <c:gapWidth val="219"/>
        <c:overlap val="-27"/>
        <c:axId val="1489119215"/>
        <c:axId val="1589394976"/>
      </c:barChart>
      <c:catAx>
        <c:axId val="14891192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394976"/>
        <c:crosses val="autoZero"/>
        <c:auto val="1"/>
        <c:lblAlgn val="ctr"/>
        <c:lblOffset val="100"/>
        <c:noMultiLvlLbl val="0"/>
      </c:catAx>
      <c:valAx>
        <c:axId val="1589394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Cash Flow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119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83634</xdr:colOff>
      <xdr:row>7</xdr:row>
      <xdr:rowOff>102220</xdr:rowOff>
    </xdr:from>
    <xdr:to>
      <xdr:col>21</xdr:col>
      <xdr:colOff>130098</xdr:colOff>
      <xdr:row>31</xdr:row>
      <xdr:rowOff>0</xdr:rowOff>
    </xdr:to>
    <xdr:sp macro="" textlink="">
      <xdr:nvSpPr>
        <xdr:cNvPr id="275" name="TextBox 1">
          <a:extLst>
            <a:ext uri="{FF2B5EF4-FFF2-40B4-BE49-F238E27FC236}">
              <a16:creationId xmlns:a16="http://schemas.microsoft.com/office/drawing/2014/main" id="{956D947E-BCFF-FDB9-423D-2E458BEF69ED}"/>
            </a:ext>
          </a:extLst>
        </xdr:cNvPr>
        <xdr:cNvSpPr txBox="1"/>
      </xdr:nvSpPr>
      <xdr:spPr>
        <a:xfrm>
          <a:off x="12201293" y="1449659"/>
          <a:ext cx="3893634" cy="40051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Engineering, purchase etc year</a:t>
          </a:r>
          <a:r>
            <a:rPr lang="en-US" sz="1100">
              <a:solidFill>
                <a:srgbClr val="FF0000"/>
              </a:solidFill>
            </a:rPr>
            <a:t> 2023 </a:t>
          </a:r>
          <a:r>
            <a:rPr lang="en-US" sz="1100"/>
            <a:t>or 2024</a:t>
          </a:r>
        </a:p>
        <a:p>
          <a:endParaRPr lang="en-US" sz="1100"/>
        </a:p>
        <a:p>
          <a:r>
            <a:rPr lang="en-US" sz="1100"/>
            <a:t>Loan</a:t>
          </a:r>
          <a:r>
            <a:rPr lang="en-US" sz="1100" baseline="0"/>
            <a:t> year 2023 and costs 2023 - ask prof</a:t>
          </a:r>
        </a:p>
        <a:p>
          <a:r>
            <a:rPr lang="en-US" sz="1100" baseline="0">
              <a:solidFill>
                <a:srgbClr val="FF0000"/>
              </a:solidFill>
            </a:rPr>
            <a:t>Clump sum in the beginning or divide debt</a:t>
          </a:r>
        </a:p>
        <a:p>
          <a:endParaRPr lang="en-US" sz="1100" baseline="0"/>
        </a:p>
        <a:p>
          <a:r>
            <a:rPr lang="en-US" sz="1100" baseline="0"/>
            <a:t>Overhead costs?, ask prof if assumtipons are ok -&gt; Indirect costs?</a:t>
          </a:r>
        </a:p>
        <a:p>
          <a:endParaRPr lang="en-US" sz="1100" baseline="0"/>
        </a:p>
        <a:p>
          <a:r>
            <a:rPr lang="en-US" sz="1100" baseline="0"/>
            <a:t>Government subsidies</a:t>
          </a:r>
        </a:p>
        <a:p>
          <a:endParaRPr lang="en-US" sz="1100" baseline="0"/>
        </a:p>
        <a:p>
          <a:r>
            <a:rPr lang="en-US" sz="1100" baseline="0"/>
            <a:t>Joint venture funding</a:t>
          </a:r>
        </a:p>
        <a:p>
          <a:endParaRPr lang="en-US" sz="1100" baseline="0"/>
        </a:p>
        <a:p>
          <a:r>
            <a:rPr lang="en-US" sz="1100" baseline="0"/>
            <a:t>Contingency fund -&gt; Risk analysis</a:t>
          </a:r>
        </a:p>
        <a:p>
          <a:endParaRPr lang="en-US" sz="1100" baseline="0"/>
        </a:p>
        <a:p>
          <a:r>
            <a:rPr lang="en-US" sz="1100" baseline="0"/>
            <a:t>Deprecation</a:t>
          </a:r>
        </a:p>
        <a:p>
          <a:endParaRPr lang="en-US" sz="1100" baseline="0"/>
        </a:p>
        <a:p>
          <a:r>
            <a:rPr lang="en-US" sz="1100" baseline="0"/>
            <a:t>DSCR &gt; DSCR target</a:t>
          </a:r>
        </a:p>
        <a:p>
          <a:endParaRPr lang="en-US" sz="1100" baseline="0"/>
        </a:p>
        <a:p>
          <a:r>
            <a:rPr lang="en-US" sz="1100" baseline="0"/>
            <a:t>Residual value 30% of the initial one</a:t>
          </a:r>
        </a:p>
        <a:p>
          <a:endParaRPr lang="en-US" sz="1100"/>
        </a:p>
        <a:p>
          <a:r>
            <a:rPr lang="en-US" sz="1100"/>
            <a:t>To repay CAPEX we use only 49%</a:t>
          </a:r>
          <a:r>
            <a:rPr lang="en-US" sz="1100" baseline="0"/>
            <a:t> of the net cashflow</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133351</xdr:colOff>
      <xdr:row>18</xdr:row>
      <xdr:rowOff>104774</xdr:rowOff>
    </xdr:from>
    <xdr:to>
      <xdr:col>19</xdr:col>
      <xdr:colOff>76200</xdr:colOff>
      <xdr:row>34</xdr:row>
      <xdr:rowOff>90487</xdr:rowOff>
    </xdr:to>
    <xdr:graphicFrame macro="">
      <xdr:nvGraphicFramePr>
        <xdr:cNvPr id="14" name="Chart 13">
          <a:extLst>
            <a:ext uri="{FF2B5EF4-FFF2-40B4-BE49-F238E27FC236}">
              <a16:creationId xmlns:a16="http://schemas.microsoft.com/office/drawing/2014/main" id="{1291D13A-C899-74C6-649E-C74A73E42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142876</xdr:colOff>
      <xdr:row>0</xdr:row>
      <xdr:rowOff>45244</xdr:rowOff>
    </xdr:from>
    <xdr:to>
      <xdr:col>19</xdr:col>
      <xdr:colOff>104775</xdr:colOff>
      <xdr:row>18</xdr:row>
      <xdr:rowOff>9526</xdr:rowOff>
    </xdr:to>
    <xdr:graphicFrame macro="">
      <xdr:nvGraphicFramePr>
        <xdr:cNvPr id="16" name="Chart 15">
          <a:extLst>
            <a:ext uri="{FF2B5EF4-FFF2-40B4-BE49-F238E27FC236}">
              <a16:creationId xmlns:a16="http://schemas.microsoft.com/office/drawing/2014/main" id="{BD2241A7-2AF1-04D7-6C9E-3DBA90E800D9}"/>
            </a:ext>
            <a:ext uri="{147F2762-F138-4A5C-976F-8EAC2B608ADB}">
              <a16:predDERef xmlns:a16="http://schemas.microsoft.com/office/drawing/2014/main" pred="{1291D13A-C899-74C6-649E-C74A73E42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D21BB-7F4C-467B-A1D9-F13CC8D85313}">
  <dimension ref="A2:AF39"/>
  <sheetViews>
    <sheetView zoomScale="80" zoomScaleNormal="80" workbookViewId="0">
      <selection activeCell="K36" sqref="K36"/>
    </sheetView>
  </sheetViews>
  <sheetFormatPr defaultRowHeight="14.45"/>
  <cols>
    <col min="1" max="1" width="33" customWidth="1"/>
    <col min="2" max="3" width="8.85546875" hidden="1" customWidth="1"/>
    <col min="4" max="4" width="8.85546875" customWidth="1"/>
    <col min="5" max="10" width="8.85546875" bestFit="1" customWidth="1"/>
    <col min="11" max="11" width="9.5703125" bestFit="1" customWidth="1"/>
    <col min="12" max="21" width="8.85546875" bestFit="1" customWidth="1"/>
  </cols>
  <sheetData>
    <row r="2" spans="1:30">
      <c r="A2" s="5" t="s">
        <v>0</v>
      </c>
      <c r="B2" s="6">
        <v>45231</v>
      </c>
      <c r="C2" s="6">
        <v>45261</v>
      </c>
      <c r="D2" s="6">
        <v>45292</v>
      </c>
      <c r="E2" s="6">
        <v>45323</v>
      </c>
      <c r="F2" s="6">
        <v>45352</v>
      </c>
      <c r="G2" s="6">
        <v>45383</v>
      </c>
      <c r="H2" s="6">
        <v>45413</v>
      </c>
      <c r="I2" s="6">
        <v>45444</v>
      </c>
      <c r="J2" s="6">
        <v>45474</v>
      </c>
      <c r="K2" s="6">
        <v>45505</v>
      </c>
      <c r="L2" s="6">
        <v>45536</v>
      </c>
      <c r="M2" s="6">
        <v>45566</v>
      </c>
      <c r="N2" s="6">
        <v>45597</v>
      </c>
      <c r="O2" s="6">
        <v>45627</v>
      </c>
      <c r="P2" s="6">
        <v>45658</v>
      </c>
      <c r="Q2" s="6">
        <v>45689</v>
      </c>
      <c r="R2" s="6">
        <v>45717</v>
      </c>
      <c r="S2" s="6">
        <v>45748</v>
      </c>
      <c r="T2" s="6">
        <v>45778</v>
      </c>
      <c r="U2" s="6">
        <v>45809</v>
      </c>
      <c r="V2" s="6">
        <v>45839</v>
      </c>
      <c r="W2" s="6">
        <v>45870</v>
      </c>
      <c r="X2" s="6">
        <v>45901</v>
      </c>
      <c r="Y2" s="6">
        <v>45931</v>
      </c>
      <c r="Z2" s="6">
        <v>45962</v>
      </c>
      <c r="AA2" s="6">
        <v>45992</v>
      </c>
      <c r="AB2" s="6">
        <v>46023</v>
      </c>
      <c r="AC2" s="6">
        <v>46054</v>
      </c>
      <c r="AD2" s="6">
        <v>46082</v>
      </c>
    </row>
    <row r="3" spans="1:30" ht="18.399999999999999">
      <c r="A3" s="2" t="s">
        <v>1</v>
      </c>
      <c r="B3" s="4"/>
      <c r="C3" s="4"/>
      <c r="D3" s="4"/>
      <c r="E3" s="4"/>
      <c r="F3" s="4"/>
      <c r="G3" s="4"/>
      <c r="H3" s="4"/>
      <c r="I3" s="4"/>
      <c r="J3" s="4"/>
      <c r="K3" s="4"/>
      <c r="L3" s="4"/>
      <c r="M3" s="4"/>
      <c r="N3" s="4"/>
      <c r="O3" s="4"/>
      <c r="P3" s="4"/>
      <c r="Q3" s="4"/>
      <c r="R3" s="4"/>
      <c r="S3" s="4"/>
      <c r="T3" s="4"/>
      <c r="U3" s="4"/>
      <c r="V3" s="4"/>
      <c r="W3" s="4"/>
      <c r="X3" s="4"/>
      <c r="Y3" s="4"/>
      <c r="Z3" s="4"/>
      <c r="AA3" s="4"/>
      <c r="AB3" s="4"/>
      <c r="AC3" s="4"/>
      <c r="AD3" s="4"/>
    </row>
    <row r="4" spans="1:30">
      <c r="A4" s="1" t="s">
        <v>2</v>
      </c>
      <c r="B4" s="4"/>
      <c r="C4" s="4"/>
      <c r="D4" s="4"/>
      <c r="E4" s="4"/>
      <c r="F4" s="4"/>
      <c r="G4" s="4"/>
      <c r="H4" s="4"/>
      <c r="I4" s="4"/>
      <c r="J4" s="4"/>
      <c r="K4" s="4"/>
      <c r="L4" s="4"/>
      <c r="M4" s="4"/>
      <c r="N4" s="4"/>
      <c r="O4" s="4"/>
      <c r="P4" s="4"/>
      <c r="Q4" s="4"/>
      <c r="R4" s="4"/>
      <c r="S4" s="4"/>
      <c r="T4" s="4"/>
      <c r="U4" s="4"/>
      <c r="V4" s="4"/>
      <c r="W4" s="4"/>
      <c r="X4" s="4"/>
      <c r="Y4" s="4"/>
      <c r="Z4" s="4"/>
      <c r="AA4" s="4"/>
      <c r="AB4" s="4"/>
      <c r="AC4" s="4"/>
      <c r="AD4" s="4"/>
    </row>
    <row r="5" spans="1:30">
      <c r="A5" t="s">
        <v>3</v>
      </c>
      <c r="B5" s="4">
        <f>(Revenues!$B$9/12)</f>
        <v>4202916666666.6665</v>
      </c>
      <c r="C5" s="4">
        <f>(Revenues!$B$9/12)</f>
        <v>4202916666666.6665</v>
      </c>
      <c r="D5" s="4">
        <f>Revenues!$C$9/12</f>
        <v>0</v>
      </c>
      <c r="E5" s="4">
        <f>Revenues!$C$9/12</f>
        <v>0</v>
      </c>
      <c r="F5" s="4">
        <f>Revenues!$C$9/12</f>
        <v>0</v>
      </c>
      <c r="G5" s="4">
        <f>Revenues!$C$9/12</f>
        <v>0</v>
      </c>
      <c r="H5" s="4">
        <f>Revenues!$C$9/12</f>
        <v>0</v>
      </c>
      <c r="I5" s="4">
        <f>Revenues!$C$9/12</f>
        <v>0</v>
      </c>
      <c r="J5" s="4">
        <f>Revenues!$C$9/12</f>
        <v>0</v>
      </c>
      <c r="K5" s="4">
        <f>Revenues!$C$9/12</f>
        <v>0</v>
      </c>
      <c r="L5" s="4">
        <f>Revenues!$C$9/12</f>
        <v>0</v>
      </c>
      <c r="M5" s="4">
        <f>Revenues!$C$9/12</f>
        <v>0</v>
      </c>
      <c r="N5" s="4">
        <f>Revenues!$C$9/12</f>
        <v>0</v>
      </c>
      <c r="O5" s="4">
        <f>Revenues!$C$9/12</f>
        <v>0</v>
      </c>
      <c r="P5" s="4">
        <f>Revenues!$D$9/12</f>
        <v>0</v>
      </c>
      <c r="Q5" s="4">
        <f>Revenues!$D$9/12</f>
        <v>0</v>
      </c>
      <c r="R5" s="4">
        <f>Revenues!$D$9/12</f>
        <v>0</v>
      </c>
      <c r="S5" s="4">
        <f>Revenues!$D$9/12</f>
        <v>0</v>
      </c>
      <c r="T5" s="4">
        <f>Revenues!$D$9/12</f>
        <v>0</v>
      </c>
      <c r="U5" s="4">
        <f>Revenues!$D$9/12</f>
        <v>0</v>
      </c>
      <c r="V5" s="4">
        <f>Revenues!$D$9/12</f>
        <v>0</v>
      </c>
      <c r="W5" s="4">
        <f>Revenues!$D$9/12</f>
        <v>0</v>
      </c>
      <c r="X5" s="4">
        <f>Revenues!$D$9/12</f>
        <v>0</v>
      </c>
      <c r="Y5" s="4">
        <f>Revenues!$D$9/12</f>
        <v>0</v>
      </c>
      <c r="Z5" s="4">
        <f>Revenues!$D$9/12</f>
        <v>0</v>
      </c>
      <c r="AA5" s="4">
        <f>Revenues!$D$9/12</f>
        <v>0</v>
      </c>
      <c r="AB5" s="4">
        <f>Revenues!$E$9/12</f>
        <v>4837652.0356266685</v>
      </c>
      <c r="AC5" s="4">
        <f>Revenues!$E$9/12</f>
        <v>4837652.0356266685</v>
      </c>
      <c r="AD5" s="4">
        <f>Revenues!$E$9/12</f>
        <v>4837652.0356266685</v>
      </c>
    </row>
    <row r="6" spans="1:30">
      <c r="A6" t="s">
        <v>4</v>
      </c>
      <c r="B6" s="4"/>
      <c r="C6" s="4"/>
      <c r="D6" s="4"/>
      <c r="E6" s="4"/>
      <c r="F6" s="4"/>
      <c r="G6" s="4"/>
      <c r="H6" s="4"/>
      <c r="I6" s="4"/>
      <c r="J6" s="4"/>
      <c r="K6" s="4"/>
      <c r="L6" s="4"/>
      <c r="M6" s="4"/>
      <c r="N6" s="4"/>
      <c r="O6" s="4"/>
      <c r="P6" s="4"/>
      <c r="Q6" s="4"/>
      <c r="R6" s="4"/>
      <c r="S6" s="4"/>
      <c r="T6" s="4"/>
      <c r="U6" s="4"/>
      <c r="V6" s="4"/>
      <c r="W6" s="4"/>
      <c r="X6" s="4"/>
      <c r="Y6" s="4"/>
      <c r="Z6" s="4"/>
      <c r="AA6" s="4"/>
      <c r="AB6" s="4"/>
      <c r="AC6" s="4"/>
      <c r="AD6" s="4"/>
    </row>
    <row r="7" spans="1:30">
      <c r="A7" t="s">
        <v>5</v>
      </c>
      <c r="B7" s="4"/>
      <c r="C7" s="4"/>
      <c r="D7" s="4"/>
      <c r="E7" s="4"/>
      <c r="F7" s="4"/>
      <c r="G7" s="4"/>
      <c r="H7" s="4"/>
      <c r="I7" s="4"/>
      <c r="J7" s="4"/>
      <c r="K7" s="4"/>
      <c r="L7" s="4"/>
      <c r="M7" s="4"/>
      <c r="N7" s="4"/>
      <c r="O7" s="4"/>
      <c r="P7" s="4"/>
      <c r="Q7" s="4"/>
      <c r="R7" s="4"/>
      <c r="S7" s="4"/>
      <c r="T7" s="4"/>
      <c r="U7" s="4"/>
      <c r="V7" s="4"/>
      <c r="W7" s="4"/>
      <c r="X7" s="4"/>
      <c r="Y7" s="4"/>
      <c r="Z7" s="4"/>
      <c r="AA7" s="4"/>
      <c r="AB7" s="4"/>
      <c r="AC7" s="4"/>
      <c r="AD7" s="4"/>
    </row>
    <row r="8" spans="1:30">
      <c r="B8" s="4"/>
      <c r="C8" s="4"/>
      <c r="D8" s="4"/>
      <c r="E8" s="4"/>
      <c r="F8" s="4"/>
      <c r="G8" s="4"/>
      <c r="H8" s="4"/>
      <c r="I8" s="4"/>
      <c r="J8" s="4"/>
      <c r="K8" s="4"/>
      <c r="L8" s="4"/>
      <c r="M8" s="4"/>
      <c r="N8" s="4"/>
      <c r="O8" s="4"/>
      <c r="P8" s="4"/>
      <c r="Q8" s="4"/>
      <c r="R8" s="4"/>
      <c r="S8" s="4"/>
      <c r="T8" s="4"/>
      <c r="U8" s="4"/>
      <c r="V8" s="4"/>
      <c r="W8" s="4"/>
      <c r="X8" s="4"/>
      <c r="Y8" s="4"/>
      <c r="Z8" s="4"/>
      <c r="AA8" s="4"/>
      <c r="AB8" s="4"/>
      <c r="AC8" s="4"/>
      <c r="AD8" s="4"/>
    </row>
    <row r="9" spans="1:30">
      <c r="A9" s="1" t="s">
        <v>6</v>
      </c>
      <c r="B9" s="4"/>
      <c r="C9" s="4"/>
      <c r="D9" s="4"/>
      <c r="E9" s="4"/>
      <c r="F9" s="4"/>
      <c r="G9" s="4"/>
      <c r="H9" s="4"/>
      <c r="I9" s="4"/>
      <c r="J9" s="4"/>
      <c r="K9" s="4"/>
      <c r="L9" s="4"/>
      <c r="M9" s="4"/>
      <c r="N9" s="4"/>
      <c r="O9" s="4"/>
      <c r="P9" s="4"/>
      <c r="Q9" s="4"/>
      <c r="R9" s="4"/>
      <c r="S9" s="4"/>
      <c r="T9" s="4"/>
      <c r="U9" s="4"/>
      <c r="V9" s="4"/>
      <c r="W9" s="4"/>
      <c r="X9" s="4"/>
      <c r="Y9" s="4"/>
      <c r="Z9" s="4"/>
      <c r="AA9" s="4"/>
      <c r="AB9" s="4"/>
      <c r="AC9" s="4"/>
      <c r="AD9" s="4"/>
    </row>
    <row r="10" spans="1:30">
      <c r="A10" s="1" t="s">
        <v>7</v>
      </c>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spans="1:30">
      <c r="A11" t="s">
        <v>8</v>
      </c>
      <c r="B11" s="4">
        <f>'Data from MS project'!E3</f>
        <v>1342464</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row>
    <row r="12" spans="1:30">
      <c r="A12" t="s">
        <v>9</v>
      </c>
      <c r="C12" s="4"/>
      <c r="D12" s="4"/>
      <c r="E12" s="4"/>
      <c r="F12" s="4"/>
      <c r="G12" s="4"/>
      <c r="H12" s="4"/>
      <c r="I12" s="4"/>
      <c r="J12" s="4">
        <f>'Data from MS project'!E16</f>
        <v>2800</v>
      </c>
      <c r="K12" s="4">
        <f>'Data from MS project'!E18</f>
        <v>2240</v>
      </c>
      <c r="L12" s="4"/>
      <c r="M12" s="4"/>
      <c r="N12" s="4"/>
      <c r="O12" s="4"/>
      <c r="P12" s="4"/>
      <c r="Q12" s="4"/>
      <c r="R12" s="4"/>
      <c r="S12" s="4"/>
      <c r="T12" s="4"/>
      <c r="U12" s="4"/>
      <c r="V12" s="4"/>
      <c r="W12" s="4"/>
      <c r="X12" s="4"/>
      <c r="Y12" s="4"/>
      <c r="Z12" s="4"/>
      <c r="AA12" s="4"/>
      <c r="AB12" s="4"/>
      <c r="AC12" s="4"/>
      <c r="AD12" s="4"/>
    </row>
    <row r="13" spans="1:30">
      <c r="A13" t="s">
        <v>10</v>
      </c>
      <c r="B13" s="4"/>
      <c r="C13" s="4"/>
      <c r="D13" s="4"/>
      <c r="E13" s="4"/>
      <c r="F13" s="4"/>
      <c r="G13" s="4"/>
      <c r="H13" s="4"/>
      <c r="I13" s="4"/>
      <c r="J13" s="4"/>
      <c r="K13" s="4" t="e">
        <f>SUM('Data from MS project'!#REF!+'Data from MS project'!#REF!+'Data from MS project'!#REF!+'Data from MS project'!#REF!+'Data from MS project'!#REF!+'Data from MS project'!#REF!+'Data from MS project'!#REF!+ 'Data from MS project'!#REF!+'Data from MS project'!#REF!+'Data from MS project'!#REF!+'Data from MS project'!#REF!+'Data from MS project'!#REF!+'Data from MS project'!#REF!)</f>
        <v>#REF!</v>
      </c>
      <c r="L13" s="4"/>
      <c r="M13" s="4"/>
      <c r="N13" s="4">
        <f>SUM('Data from MS project'!E50+'Data from MS project'!E47+'Data from MS project'!E38)</f>
        <v>871300</v>
      </c>
      <c r="O13" s="4">
        <f>'Data from MS project'!E56</f>
        <v>480</v>
      </c>
      <c r="P13" s="4">
        <f>SUM('Data from MS project'!E32+'Data from MS project'!E35+'Data from MS project'!E53)</f>
        <v>11000550</v>
      </c>
      <c r="Q13" s="4">
        <f>SUM('Data from MS project'!E65+'Data from MS project'!E62+'Data from MS project'!E59+'Data from MS project'!E44+'Data from MS project'!E41)</f>
        <v>4401170</v>
      </c>
      <c r="R13" s="4"/>
      <c r="S13" s="4"/>
      <c r="T13" s="4"/>
      <c r="U13" s="4"/>
      <c r="V13" s="4"/>
      <c r="W13" s="4"/>
      <c r="X13" s="4"/>
      <c r="Y13" s="4"/>
      <c r="Z13" s="4"/>
      <c r="AA13" s="4"/>
      <c r="AB13" s="4"/>
      <c r="AC13" s="4"/>
      <c r="AD13" s="4"/>
    </row>
    <row r="14" spans="1:30">
      <c r="A14" t="s">
        <v>11</v>
      </c>
      <c r="B14" s="4"/>
      <c r="C14" s="4"/>
      <c r="D14" s="4"/>
      <c r="E14" s="4"/>
      <c r="F14" s="4"/>
      <c r="G14" s="4"/>
      <c r="H14" s="4"/>
      <c r="I14" s="4"/>
      <c r="J14" s="4"/>
      <c r="K14" s="4"/>
      <c r="L14" s="4"/>
      <c r="M14" s="4"/>
      <c r="N14" s="4"/>
      <c r="O14" s="4"/>
      <c r="P14" s="4"/>
      <c r="Q14" s="4" t="e">
        <f>'Data from MS project'!#REF!+'Data from MS project'!#REF!+'Data from MS project'!#REF!+'Data from MS project'!#REF!+'Data from MS project'!#REF!+'Data from MS project'!#REF!+'Data from MS project'!#REF!+'Data from MS project'!#REF!+'Data from MS project'!#REF!</f>
        <v>#REF!</v>
      </c>
      <c r="R14" s="4"/>
      <c r="S14" s="4" t="e">
        <f>'Data from MS project'!E70+'Data from MS project'!#REF!+'Data from MS project'!#REF!</f>
        <v>#REF!</v>
      </c>
      <c r="T14" s="4"/>
      <c r="U14" s="4"/>
      <c r="V14" s="4"/>
      <c r="W14" s="4"/>
      <c r="X14" s="4"/>
      <c r="Y14" s="4"/>
      <c r="Z14" s="4"/>
      <c r="AA14" s="4"/>
      <c r="AB14" s="4"/>
      <c r="AC14" s="4"/>
      <c r="AD14" s="4"/>
    </row>
    <row r="15" spans="1:30" s="1" customFormat="1">
      <c r="A15" s="1" t="s">
        <v>12</v>
      </c>
      <c r="B15" s="7">
        <f>SUM(B11:B14)</f>
        <v>1342464</v>
      </c>
      <c r="C15" s="7">
        <f t="shared" ref="C15:AD15" si="0">SUM(C11:C14)</f>
        <v>0</v>
      </c>
      <c r="D15" s="7">
        <f t="shared" si="0"/>
        <v>0</v>
      </c>
      <c r="E15" s="7">
        <f t="shared" si="0"/>
        <v>0</v>
      </c>
      <c r="F15" s="7">
        <f t="shared" si="0"/>
        <v>0</v>
      </c>
      <c r="G15" s="7">
        <f t="shared" si="0"/>
        <v>0</v>
      </c>
      <c r="H15" s="7">
        <f t="shared" si="0"/>
        <v>0</v>
      </c>
      <c r="I15" s="7">
        <f t="shared" si="0"/>
        <v>0</v>
      </c>
      <c r="J15" s="7">
        <f t="shared" si="0"/>
        <v>2800</v>
      </c>
      <c r="K15" s="7" t="e">
        <f t="shared" si="0"/>
        <v>#REF!</v>
      </c>
      <c r="L15" s="7">
        <f t="shared" si="0"/>
        <v>0</v>
      </c>
      <c r="M15" s="7">
        <f t="shared" si="0"/>
        <v>0</v>
      </c>
      <c r="N15" s="7">
        <f t="shared" si="0"/>
        <v>871300</v>
      </c>
      <c r="O15" s="7">
        <f t="shared" si="0"/>
        <v>480</v>
      </c>
      <c r="P15" s="7">
        <f t="shared" si="0"/>
        <v>11000550</v>
      </c>
      <c r="Q15" s="7" t="e">
        <f t="shared" si="0"/>
        <v>#REF!</v>
      </c>
      <c r="R15" s="7">
        <f t="shared" si="0"/>
        <v>0</v>
      </c>
      <c r="S15" s="7" t="e">
        <f t="shared" si="0"/>
        <v>#REF!</v>
      </c>
      <c r="T15" s="7">
        <f t="shared" si="0"/>
        <v>0</v>
      </c>
      <c r="U15" s="7">
        <f t="shared" si="0"/>
        <v>0</v>
      </c>
      <c r="V15" s="7">
        <f t="shared" si="0"/>
        <v>0</v>
      </c>
      <c r="W15" s="7">
        <f t="shared" si="0"/>
        <v>0</v>
      </c>
      <c r="X15" s="7">
        <f t="shared" si="0"/>
        <v>0</v>
      </c>
      <c r="Y15" s="7">
        <f t="shared" si="0"/>
        <v>0</v>
      </c>
      <c r="Z15" s="7">
        <f t="shared" si="0"/>
        <v>0</v>
      </c>
      <c r="AA15" s="7">
        <f t="shared" si="0"/>
        <v>0</v>
      </c>
      <c r="AB15" s="7">
        <f t="shared" si="0"/>
        <v>0</v>
      </c>
      <c r="AC15" s="7">
        <f t="shared" si="0"/>
        <v>0</v>
      </c>
      <c r="AD15" s="7">
        <f t="shared" si="0"/>
        <v>0</v>
      </c>
    </row>
    <row r="16" spans="1:30">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row>
    <row r="17" spans="1:32">
      <c r="A17" s="1" t="s">
        <v>13</v>
      </c>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row>
    <row r="18" spans="1:32">
      <c r="A18" t="s">
        <v>14</v>
      </c>
      <c r="B18" s="4" t="e">
        <f>'Price Calculations, Assumptions'!#REF!*30</f>
        <v>#REF!</v>
      </c>
      <c r="C18" s="4" t="e">
        <f>'Price Calculations, Assumptions'!#REF!*30</f>
        <v>#REF!</v>
      </c>
      <c r="D18" s="4" t="e">
        <f>'Price Calculations, Assumptions'!#REF!*30</f>
        <v>#REF!</v>
      </c>
      <c r="E18" s="4" t="e">
        <f>'Price Calculations, Assumptions'!#REF!*30</f>
        <v>#REF!</v>
      </c>
      <c r="F18" s="4" t="e">
        <f>'Price Calculations, Assumptions'!#REF!*30</f>
        <v>#REF!</v>
      </c>
      <c r="G18" s="4" t="e">
        <f>'Price Calculations, Assumptions'!#REF!*30</f>
        <v>#REF!</v>
      </c>
      <c r="H18" s="4" t="e">
        <f>'Price Calculations, Assumptions'!#REF!*30</f>
        <v>#REF!</v>
      </c>
      <c r="I18" s="4" t="e">
        <f>'Price Calculations, Assumptions'!#REF!*30</f>
        <v>#REF!</v>
      </c>
      <c r="J18" s="4" t="e">
        <f>'Price Calculations, Assumptions'!#REF!*30</f>
        <v>#REF!</v>
      </c>
      <c r="K18" s="4" t="e">
        <f>'Price Calculations, Assumptions'!#REF!*30</f>
        <v>#REF!</v>
      </c>
      <c r="L18" s="4" t="e">
        <f>'Price Calculations, Assumptions'!#REF!*30</f>
        <v>#REF!</v>
      </c>
      <c r="M18" s="4" t="e">
        <f>'Price Calculations, Assumptions'!#REF!*30</f>
        <v>#REF!</v>
      </c>
      <c r="N18" s="4" t="e">
        <f>'Price Calculations, Assumptions'!#REF!*30</f>
        <v>#REF!</v>
      </c>
      <c r="O18" s="4" t="e">
        <f>'Price Calculations, Assumptions'!#REF!*30</f>
        <v>#REF!</v>
      </c>
      <c r="P18" s="4" t="e">
        <f>'Price Calculations, Assumptions'!#REF!*30</f>
        <v>#REF!</v>
      </c>
      <c r="Q18" s="4" t="e">
        <f>'Price Calculations, Assumptions'!#REF!*30</f>
        <v>#REF!</v>
      </c>
      <c r="R18" s="4" t="e">
        <f>'Price Calculations, Assumptions'!#REF!*30</f>
        <v>#REF!</v>
      </c>
      <c r="S18" s="4" t="e">
        <f>'Price Calculations, Assumptions'!#REF!*30</f>
        <v>#REF!</v>
      </c>
      <c r="T18" s="4" t="e">
        <f>'Price Calculations, Assumptions'!#REF!*30</f>
        <v>#REF!</v>
      </c>
      <c r="U18" s="4" t="e">
        <f>'Price Calculations, Assumptions'!#REF!*30</f>
        <v>#REF!</v>
      </c>
      <c r="V18" s="4" t="e">
        <f>'Price Calculations, Assumptions'!#REF!*30</f>
        <v>#REF!</v>
      </c>
      <c r="W18" s="4" t="e">
        <f>'Price Calculations, Assumptions'!#REF!*30</f>
        <v>#REF!</v>
      </c>
      <c r="X18" s="4" t="e">
        <f>'Price Calculations, Assumptions'!#REF!*30</f>
        <v>#REF!</v>
      </c>
      <c r="Y18" s="4" t="e">
        <f>'Price Calculations, Assumptions'!#REF!*30</f>
        <v>#REF!</v>
      </c>
      <c r="Z18" s="4" t="e">
        <f>'Price Calculations, Assumptions'!#REF!*30</f>
        <v>#REF!</v>
      </c>
      <c r="AA18" s="4" t="e">
        <f>'Price Calculations, Assumptions'!#REF!*30</f>
        <v>#REF!</v>
      </c>
      <c r="AB18" s="4" t="e">
        <f>'Price Calculations, Assumptions'!#REF!*30</f>
        <v>#REF!</v>
      </c>
      <c r="AC18" s="4" t="e">
        <f>'Price Calculations, Assumptions'!#REF!*30</f>
        <v>#REF!</v>
      </c>
      <c r="AD18" s="4" t="e">
        <f>'Price Calculations, Assumptions'!#REF!*30</f>
        <v>#REF!</v>
      </c>
    </row>
    <row r="19" spans="1:32">
      <c r="A19" t="s">
        <v>15</v>
      </c>
      <c r="B19" s="4">
        <f t="shared" ref="B19:AD19" si="1">SUM(B20:B31)</f>
        <v>0</v>
      </c>
      <c r="C19" s="4">
        <f t="shared" si="1"/>
        <v>0</v>
      </c>
      <c r="D19" s="4">
        <f t="shared" si="1"/>
        <v>0</v>
      </c>
      <c r="E19" s="4">
        <f t="shared" si="1"/>
        <v>0</v>
      </c>
      <c r="F19" s="4">
        <f t="shared" si="1"/>
        <v>0</v>
      </c>
      <c r="G19" s="4">
        <f t="shared" si="1"/>
        <v>0</v>
      </c>
      <c r="H19" s="4">
        <f t="shared" si="1"/>
        <v>0</v>
      </c>
      <c r="I19" s="4">
        <f t="shared" si="1"/>
        <v>0</v>
      </c>
      <c r="J19" s="4">
        <f t="shared" si="1"/>
        <v>0</v>
      </c>
      <c r="K19" s="4">
        <f t="shared" si="1"/>
        <v>0</v>
      </c>
      <c r="L19" s="4">
        <f t="shared" si="1"/>
        <v>0</v>
      </c>
      <c r="M19" s="4">
        <f t="shared" si="1"/>
        <v>0</v>
      </c>
      <c r="N19" s="4">
        <f t="shared" si="1"/>
        <v>0</v>
      </c>
      <c r="O19" s="4">
        <f t="shared" si="1"/>
        <v>0</v>
      </c>
      <c r="P19" s="4">
        <f t="shared" si="1"/>
        <v>0</v>
      </c>
      <c r="Q19" s="4">
        <f t="shared" si="1"/>
        <v>0</v>
      </c>
      <c r="R19" s="4">
        <f t="shared" si="1"/>
        <v>0</v>
      </c>
      <c r="S19" s="4">
        <f t="shared" si="1"/>
        <v>0</v>
      </c>
      <c r="T19" s="4">
        <f t="shared" si="1"/>
        <v>295320</v>
      </c>
      <c r="U19" s="4">
        <f t="shared" si="1"/>
        <v>590640</v>
      </c>
      <c r="V19" s="4">
        <f t="shared" si="1"/>
        <v>664800</v>
      </c>
      <c r="W19" s="4">
        <f t="shared" si="1"/>
        <v>664800</v>
      </c>
      <c r="X19" s="4">
        <f t="shared" si="1"/>
        <v>666120</v>
      </c>
      <c r="Y19" s="4">
        <f t="shared" si="1"/>
        <v>664800</v>
      </c>
      <c r="Z19" s="4">
        <f t="shared" si="1"/>
        <v>369480</v>
      </c>
      <c r="AA19" s="4">
        <f t="shared" si="1"/>
        <v>295320</v>
      </c>
      <c r="AB19" s="4">
        <f t="shared" si="1"/>
        <v>172853.33333333334</v>
      </c>
      <c r="AC19" s="4">
        <f t="shared" si="1"/>
        <v>24533.333333333332</v>
      </c>
      <c r="AD19" s="4">
        <f t="shared" si="1"/>
        <v>24533.333333333332</v>
      </c>
      <c r="AF19" s="4"/>
    </row>
    <row r="20" spans="1:32" s="9" customFormat="1" hidden="1">
      <c r="A20" s="9" t="s">
        <v>16</v>
      </c>
      <c r="B20" s="8"/>
      <c r="C20" s="8"/>
      <c r="D20" s="8"/>
      <c r="E20" s="8"/>
      <c r="F20" s="8"/>
      <c r="G20" s="8"/>
      <c r="H20" s="8"/>
      <c r="I20" s="8"/>
      <c r="J20" s="8"/>
      <c r="K20" s="8"/>
      <c r="L20" s="8"/>
      <c r="M20" s="8"/>
      <c r="N20" s="8"/>
      <c r="O20" s="8"/>
      <c r="P20" s="8"/>
      <c r="Q20" s="8"/>
      <c r="R20" s="8"/>
      <c r="S20" s="8"/>
      <c r="T20" s="8"/>
      <c r="U20" s="8">
        <f>'Data from MS project'!$E$95/5</f>
        <v>74160</v>
      </c>
      <c r="V20" s="8">
        <f>'Data from MS project'!$E$95/5</f>
        <v>74160</v>
      </c>
      <c r="W20" s="8">
        <f>'Data from MS project'!$E$95/5</f>
        <v>74160</v>
      </c>
      <c r="X20" s="8">
        <f>'Data from MS project'!$E$95/5</f>
        <v>74160</v>
      </c>
      <c r="Y20" s="8">
        <f>'Data from MS project'!$E$95/5</f>
        <v>74160</v>
      </c>
      <c r="Z20" s="8"/>
      <c r="AA20" s="8"/>
      <c r="AB20" s="8"/>
      <c r="AC20" s="8"/>
      <c r="AD20" s="8"/>
      <c r="AF20" s="4"/>
    </row>
    <row r="21" spans="1:32" hidden="1">
      <c r="A21" s="9" t="s">
        <v>17</v>
      </c>
      <c r="B21" s="4"/>
      <c r="C21" s="4"/>
      <c r="D21" s="4"/>
      <c r="E21" s="4"/>
      <c r="F21" s="4"/>
      <c r="G21" s="4"/>
      <c r="H21" s="4"/>
      <c r="I21" s="4"/>
      <c r="J21" s="4"/>
      <c r="K21" s="4"/>
      <c r="L21" s="4"/>
      <c r="M21" s="4"/>
      <c r="N21" s="4"/>
      <c r="O21" s="4"/>
      <c r="P21" s="4"/>
      <c r="Q21" s="4"/>
      <c r="R21" s="4"/>
      <c r="S21" s="4"/>
      <c r="T21" s="4">
        <f>'Data from MS project'!$E$104/5</f>
        <v>74160</v>
      </c>
      <c r="U21" s="4">
        <f>'Data from MS project'!$E$104/5</f>
        <v>74160</v>
      </c>
      <c r="V21" s="4">
        <f>'Data from MS project'!$E$104/5</f>
        <v>74160</v>
      </c>
      <c r="W21" s="4">
        <f>'Data from MS project'!$E$104/5</f>
        <v>74160</v>
      </c>
      <c r="X21" s="4">
        <f>'Data from MS project'!$E$104/5</f>
        <v>74160</v>
      </c>
      <c r="Y21" s="4"/>
      <c r="Z21" s="4"/>
      <c r="AA21" s="4"/>
      <c r="AB21" s="4"/>
      <c r="AC21" s="4"/>
      <c r="AD21" s="4"/>
      <c r="AF21" s="4"/>
    </row>
    <row r="22" spans="1:32" hidden="1">
      <c r="A22" s="9" t="s">
        <v>18</v>
      </c>
      <c r="B22" s="4"/>
      <c r="C22" s="4"/>
      <c r="D22" s="4"/>
      <c r="E22" s="4"/>
      <c r="F22" s="4"/>
      <c r="G22" s="4"/>
      <c r="H22" s="4"/>
      <c r="I22" s="4"/>
      <c r="J22" s="4"/>
      <c r="K22" s="4"/>
      <c r="L22" s="4"/>
      <c r="M22" s="4"/>
      <c r="N22" s="4"/>
      <c r="O22" s="4"/>
      <c r="P22" s="4"/>
      <c r="Q22" s="4"/>
      <c r="R22" s="4"/>
      <c r="S22" s="4"/>
      <c r="T22" s="4"/>
      <c r="U22" s="4">
        <f>'Data from MS project'!$E$109/3</f>
        <v>147000</v>
      </c>
      <c r="V22" s="4">
        <f>'Data from MS project'!$E$109/3</f>
        <v>147000</v>
      </c>
      <c r="W22" s="4">
        <f>'Data from MS project'!$E$109/3</f>
        <v>147000</v>
      </c>
      <c r="X22" s="4"/>
      <c r="Y22" s="4"/>
      <c r="Z22" s="4"/>
      <c r="AA22" s="4"/>
      <c r="AB22" s="4"/>
      <c r="AC22" s="4"/>
      <c r="AD22" s="4"/>
      <c r="AF22" s="4"/>
    </row>
    <row r="23" spans="1:32" hidden="1">
      <c r="A23" s="9" t="s">
        <v>19</v>
      </c>
      <c r="B23" s="4"/>
      <c r="C23" s="4"/>
      <c r="D23" s="4"/>
      <c r="E23" s="4"/>
      <c r="F23" s="4"/>
      <c r="G23" s="4"/>
      <c r="H23" s="4"/>
      <c r="I23" s="4"/>
      <c r="J23" s="4"/>
      <c r="K23" s="4"/>
      <c r="L23" s="4"/>
      <c r="M23" s="4"/>
      <c r="N23" s="4"/>
      <c r="O23" s="4"/>
      <c r="P23" s="4"/>
      <c r="Q23" s="4"/>
      <c r="R23" s="4"/>
      <c r="S23" s="4"/>
      <c r="T23" s="4"/>
      <c r="U23" s="4">
        <f>'Data from MS project'!$E$118/5</f>
        <v>74160</v>
      </c>
      <c r="V23" s="4">
        <f>'Data from MS project'!$E$118/5</f>
        <v>74160</v>
      </c>
      <c r="W23" s="4">
        <f>'Data from MS project'!$E$118/5</f>
        <v>74160</v>
      </c>
      <c r="X23" s="4">
        <f>'Data from MS project'!$E$118/5</f>
        <v>74160</v>
      </c>
      <c r="Y23" s="4">
        <f>'Data from MS project'!$E$118/5</f>
        <v>74160</v>
      </c>
      <c r="Z23" s="4"/>
      <c r="AA23" s="4"/>
      <c r="AB23" s="4"/>
      <c r="AC23" s="4"/>
      <c r="AD23" s="4"/>
      <c r="AF23" s="4"/>
    </row>
    <row r="24" spans="1:32" hidden="1">
      <c r="A24" s="9" t="s">
        <v>20</v>
      </c>
      <c r="B24" s="4"/>
      <c r="C24" s="4"/>
      <c r="D24" s="4"/>
      <c r="E24" s="4"/>
      <c r="F24" s="4"/>
      <c r="G24" s="4"/>
      <c r="H24" s="4"/>
      <c r="I24" s="4"/>
      <c r="J24" s="4"/>
      <c r="K24" s="4"/>
      <c r="L24" s="4"/>
      <c r="M24" s="4"/>
      <c r="N24" s="4"/>
      <c r="O24" s="4"/>
      <c r="P24" s="4"/>
      <c r="Q24" s="4"/>
      <c r="R24" s="4"/>
      <c r="S24" s="4"/>
      <c r="T24" s="4"/>
      <c r="U24" s="4"/>
      <c r="V24" s="4">
        <f>'Data from MS project'!$E$127/5</f>
        <v>74160</v>
      </c>
      <c r="W24" s="4">
        <f>'Data from MS project'!$E$127/5</f>
        <v>74160</v>
      </c>
      <c r="X24" s="4">
        <f>'Data from MS project'!$E$127/5</f>
        <v>74160</v>
      </c>
      <c r="Y24" s="4">
        <f>'Data from MS project'!$E$127/5</f>
        <v>74160</v>
      </c>
      <c r="Z24" s="4">
        <f>'Data from MS project'!$E$127/5</f>
        <v>74160</v>
      </c>
      <c r="AA24" s="4"/>
      <c r="AB24" s="4"/>
      <c r="AC24" s="4"/>
      <c r="AD24" s="4"/>
      <c r="AF24" s="4"/>
    </row>
    <row r="25" spans="1:32" hidden="1">
      <c r="A25" s="9" t="s">
        <v>21</v>
      </c>
      <c r="B25" s="4"/>
      <c r="C25" s="4"/>
      <c r="D25" s="4"/>
      <c r="E25" s="4"/>
      <c r="F25" s="4"/>
      <c r="G25" s="4"/>
      <c r="H25" s="4"/>
      <c r="I25" s="4"/>
      <c r="J25" s="4"/>
      <c r="K25" s="4"/>
      <c r="L25" s="4"/>
      <c r="M25" s="4"/>
      <c r="N25" s="4"/>
      <c r="O25" s="4"/>
      <c r="P25" s="4"/>
      <c r="Q25" s="4"/>
      <c r="R25" s="4"/>
      <c r="S25" s="4"/>
      <c r="T25" s="4">
        <f>'Data from MS project'!$E$140/5</f>
        <v>74160</v>
      </c>
      <c r="U25" s="4">
        <f>'Data from MS project'!$E$140/5</f>
        <v>74160</v>
      </c>
      <c r="V25" s="4">
        <f>'Data from MS project'!$E$140/5</f>
        <v>74160</v>
      </c>
      <c r="W25" s="4">
        <f>'Data from MS project'!$E$140/5</f>
        <v>74160</v>
      </c>
      <c r="X25" s="4">
        <f>'Data from MS project'!$E$140/5</f>
        <v>74160</v>
      </c>
      <c r="Y25" s="4"/>
      <c r="Z25" s="4"/>
      <c r="AA25" s="4"/>
      <c r="AB25" s="4"/>
      <c r="AC25" s="4"/>
      <c r="AD25" s="4"/>
      <c r="AF25" s="4"/>
    </row>
    <row r="26" spans="1:32" hidden="1">
      <c r="A26" s="9" t="s">
        <v>22</v>
      </c>
      <c r="B26" s="4"/>
      <c r="C26" s="4"/>
      <c r="D26" s="4"/>
      <c r="E26" s="4"/>
      <c r="F26" s="4"/>
      <c r="G26" s="4"/>
      <c r="H26" s="4"/>
      <c r="I26" s="4"/>
      <c r="J26" s="4"/>
      <c r="K26" s="4"/>
      <c r="L26" s="4"/>
      <c r="M26" s="4"/>
      <c r="N26" s="4"/>
      <c r="O26" s="4"/>
      <c r="P26" s="4"/>
      <c r="Q26" s="4"/>
      <c r="R26" s="4"/>
      <c r="S26" s="4"/>
      <c r="T26" s="4">
        <f>'Data from MS project'!$E$145/3</f>
        <v>147000</v>
      </c>
      <c r="U26" s="4">
        <f>'Data from MS project'!$E$145/3</f>
        <v>147000</v>
      </c>
      <c r="V26" s="4">
        <f>'Data from MS project'!$E$145/3</f>
        <v>147000</v>
      </c>
      <c r="W26" s="4"/>
      <c r="X26" s="4"/>
      <c r="Y26" s="4"/>
      <c r="Z26" s="4"/>
      <c r="AA26" s="4"/>
      <c r="AB26" s="4"/>
      <c r="AC26" s="4"/>
      <c r="AD26" s="4"/>
      <c r="AF26" s="4"/>
    </row>
    <row r="27" spans="1:32" hidden="1">
      <c r="A27" s="9" t="s">
        <v>23</v>
      </c>
      <c r="B27" s="4"/>
      <c r="C27" s="4"/>
      <c r="D27" s="4"/>
      <c r="E27" s="4"/>
      <c r="F27" s="4"/>
      <c r="G27" s="4"/>
      <c r="H27" s="4"/>
      <c r="I27" s="4"/>
      <c r="J27" s="4"/>
      <c r="K27" s="4"/>
      <c r="L27" s="4"/>
      <c r="M27" s="4"/>
      <c r="N27" s="4"/>
      <c r="O27" s="4"/>
      <c r="P27" s="4"/>
      <c r="Q27" s="4"/>
      <c r="R27" s="4"/>
      <c r="S27" s="4"/>
      <c r="T27" s="4"/>
      <c r="U27" s="4"/>
      <c r="V27" s="4"/>
      <c r="W27" s="4">
        <f>'Data from MS project'!$E$150/3</f>
        <v>147000</v>
      </c>
      <c r="X27" s="4">
        <f>'Data from MS project'!$E$150/3</f>
        <v>147000</v>
      </c>
      <c r="Y27" s="4">
        <f>'Data from MS project'!$E$150/3</f>
        <v>147000</v>
      </c>
      <c r="Z27" s="4"/>
      <c r="AA27" s="4"/>
      <c r="AB27" s="4"/>
      <c r="AC27" s="4"/>
      <c r="AD27" s="4"/>
      <c r="AF27" s="4"/>
    </row>
    <row r="28" spans="1:32" hidden="1">
      <c r="A28" s="9" t="s">
        <v>24</v>
      </c>
      <c r="B28" s="4"/>
      <c r="C28" s="4"/>
      <c r="D28" s="4"/>
      <c r="E28" s="4"/>
      <c r="F28" s="4"/>
      <c r="G28" s="4"/>
      <c r="H28" s="4"/>
      <c r="I28" s="4"/>
      <c r="J28" s="4"/>
      <c r="K28" s="4"/>
      <c r="L28" s="4"/>
      <c r="M28" s="4"/>
      <c r="N28" s="4"/>
      <c r="O28" s="4"/>
      <c r="P28" s="4"/>
      <c r="Q28" s="4"/>
      <c r="R28" s="4"/>
      <c r="S28" s="4"/>
      <c r="T28" s="4"/>
      <c r="U28" s="4"/>
      <c r="V28" s="4"/>
      <c r="W28" s="4"/>
      <c r="X28" s="4">
        <f>'Data from MS project'!$E$159/5</f>
        <v>74160</v>
      </c>
      <c r="Y28" s="4">
        <f>'Data from MS project'!$E$159/5</f>
        <v>74160</v>
      </c>
      <c r="Z28" s="4">
        <f>'Data from MS project'!$E$159/5</f>
        <v>74160</v>
      </c>
      <c r="AA28" s="4">
        <f>'Data from MS project'!$E$159/5</f>
        <v>74160</v>
      </c>
      <c r="AB28" s="4">
        <f>'Data from MS project'!$E$159/5</f>
        <v>74160</v>
      </c>
      <c r="AC28" s="4"/>
      <c r="AD28" s="4"/>
      <c r="AF28" s="4"/>
    </row>
    <row r="29" spans="1:32" hidden="1">
      <c r="A29" s="9" t="s">
        <v>25</v>
      </c>
      <c r="C29" s="3"/>
      <c r="D29" s="3"/>
      <c r="E29" s="3"/>
      <c r="F29" s="3"/>
      <c r="G29" s="3"/>
      <c r="H29" s="3"/>
      <c r="I29" s="3"/>
      <c r="J29" s="3"/>
      <c r="K29" s="3"/>
      <c r="L29" s="3"/>
      <c r="Y29">
        <f>'Data from MS project'!$E$172/3</f>
        <v>147000</v>
      </c>
      <c r="Z29">
        <f>'Data from MS project'!$E$172/3</f>
        <v>147000</v>
      </c>
      <c r="AA29">
        <f>'Data from MS project'!$E$172/3</f>
        <v>147000</v>
      </c>
      <c r="AF29" s="4"/>
    </row>
    <row r="30" spans="1:32" hidden="1">
      <c r="A30" s="9" t="s">
        <v>26</v>
      </c>
      <c r="C30" s="3"/>
      <c r="D30" s="3"/>
      <c r="E30" s="3"/>
      <c r="F30" s="3"/>
      <c r="G30" s="3"/>
      <c r="H30" s="3"/>
      <c r="I30" s="3"/>
      <c r="J30" s="3"/>
      <c r="K30" s="3"/>
      <c r="L30" s="3"/>
      <c r="M30" s="3"/>
      <c r="X30">
        <f>'Data from MS project'!$E$177/5</f>
        <v>74160</v>
      </c>
      <c r="Y30">
        <f>'Data from MS project'!$E$177/5</f>
        <v>74160</v>
      </c>
      <c r="Z30">
        <f>'Data from MS project'!$E$177/5</f>
        <v>74160</v>
      </c>
      <c r="AA30">
        <f>'Data from MS project'!$E$177/5</f>
        <v>74160</v>
      </c>
      <c r="AB30">
        <f>'Data from MS project'!$E$177/5</f>
        <v>74160</v>
      </c>
      <c r="AF30" s="4"/>
    </row>
    <row r="31" spans="1:32" hidden="1">
      <c r="A31" s="9" t="s">
        <v>27</v>
      </c>
      <c r="C31" s="10"/>
      <c r="D31" s="10"/>
      <c r="E31" s="10"/>
      <c r="F31" s="10"/>
      <c r="G31" s="10"/>
      <c r="H31" s="10"/>
      <c r="I31" s="10"/>
      <c r="J31" s="10"/>
      <c r="K31" s="10"/>
      <c r="L31" s="10"/>
      <c r="M31" s="10"/>
      <c r="AB31" s="4">
        <f>'Data from MS project'!$E$182/3</f>
        <v>24533.333333333332</v>
      </c>
      <c r="AC31" s="4">
        <f>'Data from MS project'!$E$182/3</f>
        <v>24533.333333333332</v>
      </c>
      <c r="AD31" s="4">
        <f>'Data from MS project'!$E$182/3</f>
        <v>24533.333333333332</v>
      </c>
      <c r="AF31" s="4"/>
    </row>
    <row r="32" spans="1:32">
      <c r="A32" t="s">
        <v>28</v>
      </c>
    </row>
    <row r="33" spans="1:1">
      <c r="A33" s="1" t="s">
        <v>29</v>
      </c>
    </row>
    <row r="34" spans="1:1">
      <c r="A34" s="1"/>
    </row>
    <row r="35" spans="1:1">
      <c r="A35" t="s">
        <v>30</v>
      </c>
    </row>
    <row r="36" spans="1:1">
      <c r="A36" t="s">
        <v>31</v>
      </c>
    </row>
    <row r="37" spans="1:1">
      <c r="A37" t="s">
        <v>32</v>
      </c>
    </row>
    <row r="39" spans="1:1">
      <c r="A39" t="s">
        <v>33</v>
      </c>
    </row>
  </sheetData>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B1BCD-6415-4524-BC1D-E6062CD626BD}">
  <dimension ref="B1:O13"/>
  <sheetViews>
    <sheetView showGridLines="0" topLeftCell="A2" zoomScale="80" zoomScaleNormal="80" workbookViewId="0">
      <selection activeCell="D33" sqref="A1:XFD1048576"/>
    </sheetView>
  </sheetViews>
  <sheetFormatPr defaultRowHeight="14.25"/>
  <cols>
    <col min="1" max="1" width="9.140625" style="13"/>
    <col min="2" max="2" width="17.28515625" style="13" customWidth="1"/>
    <col min="3" max="3" width="13.140625" style="13" customWidth="1"/>
    <col min="4" max="4" width="9.140625" style="13"/>
    <col min="5" max="6" width="8.85546875" style="13" bestFit="1" customWidth="1"/>
    <col min="7" max="7" width="33.5703125" style="13" customWidth="1"/>
    <col min="8" max="8" width="9.140625" style="13" bestFit="1" customWidth="1"/>
    <col min="9" max="9" width="11.140625" style="13" bestFit="1" customWidth="1"/>
    <col min="10" max="10" width="11.28515625" style="13" bestFit="1" customWidth="1"/>
    <col min="11" max="11" width="11.140625" style="13" bestFit="1" customWidth="1"/>
    <col min="12" max="12" width="18.5703125" style="13" customWidth="1"/>
    <col min="13" max="15" width="11.140625" style="13" bestFit="1" customWidth="1"/>
    <col min="16" max="16383" width="9.140625" style="13"/>
    <col min="16384" max="16384" width="8.85546875" style="13" bestFit="1" customWidth="1"/>
  </cols>
  <sheetData>
    <row r="1" spans="2:15" ht="18">
      <c r="B1" s="11" t="s">
        <v>34</v>
      </c>
      <c r="C1" s="11"/>
      <c r="D1" s="11"/>
      <c r="E1" s="11"/>
      <c r="F1" s="12"/>
      <c r="G1" s="11" t="s">
        <v>35</v>
      </c>
      <c r="H1" s="11"/>
      <c r="I1" s="11"/>
      <c r="J1" s="11"/>
      <c r="K1" s="12"/>
      <c r="L1" s="11" t="s">
        <v>36</v>
      </c>
      <c r="M1" s="11"/>
      <c r="N1" s="11"/>
      <c r="O1" s="11"/>
    </row>
    <row r="2" spans="2:15" ht="28.5">
      <c r="B2" s="14" t="s">
        <v>37</v>
      </c>
      <c r="C2" s="15" t="s">
        <v>38</v>
      </c>
      <c r="D2" s="15" t="s">
        <v>39</v>
      </c>
      <c r="E2" s="15" t="s">
        <v>40</v>
      </c>
      <c r="G2" s="14" t="s">
        <v>37</v>
      </c>
      <c r="H2" s="15" t="s">
        <v>39</v>
      </c>
      <c r="I2" s="15" t="s">
        <v>38</v>
      </c>
      <c r="J2" s="15" t="s">
        <v>40</v>
      </c>
      <c r="L2" s="14" t="s">
        <v>37</v>
      </c>
      <c r="M2" s="15" t="s">
        <v>39</v>
      </c>
      <c r="N2" s="15" t="s">
        <v>38</v>
      </c>
      <c r="O2" s="15" t="s">
        <v>40</v>
      </c>
    </row>
    <row r="3" spans="2:15" ht="28.5">
      <c r="B3" s="16" t="s">
        <v>41</v>
      </c>
      <c r="C3" s="17">
        <v>394</v>
      </c>
      <c r="D3" s="18">
        <v>326</v>
      </c>
      <c r="E3" s="19">
        <f t="shared" ref="E3:E9" si="0">-(C3-D3)/C3</f>
        <v>-0.17258883248730963</v>
      </c>
      <c r="F3" s="20"/>
      <c r="G3" s="16" t="s">
        <v>42</v>
      </c>
      <c r="H3" s="18" t="s">
        <v>37</v>
      </c>
      <c r="I3" s="17" t="s">
        <v>37</v>
      </c>
      <c r="J3" s="19" t="s">
        <v>37</v>
      </c>
      <c r="K3" s="20"/>
      <c r="L3" s="16" t="s">
        <v>43</v>
      </c>
      <c r="M3" s="21" t="s">
        <v>37</v>
      </c>
      <c r="N3" s="22" t="s">
        <v>37</v>
      </c>
      <c r="O3" s="23" t="s">
        <v>37</v>
      </c>
    </row>
    <row r="4" spans="2:15" ht="28.5">
      <c r="B4" s="24" t="s">
        <v>44</v>
      </c>
      <c r="C4" s="25">
        <v>340</v>
      </c>
      <c r="D4" s="25">
        <v>282</v>
      </c>
      <c r="E4" s="26">
        <f t="shared" si="0"/>
        <v>-0.17058823529411765</v>
      </c>
      <c r="F4" s="20"/>
      <c r="G4" s="27" t="s">
        <v>45</v>
      </c>
      <c r="H4" s="28">
        <v>68</v>
      </c>
      <c r="I4" s="28">
        <v>163</v>
      </c>
      <c r="J4" s="26">
        <f t="shared" ref="J4:J11" si="1">-(I4-H4)/I4</f>
        <v>-0.58282208588957052</v>
      </c>
      <c r="K4" s="20"/>
      <c r="L4" s="27" t="s">
        <v>46</v>
      </c>
      <c r="M4" s="29" t="s">
        <v>47</v>
      </c>
      <c r="N4" s="29" t="s">
        <v>48</v>
      </c>
      <c r="O4" s="30" t="s">
        <v>49</v>
      </c>
    </row>
    <row r="5" spans="2:15" ht="28.5">
      <c r="B5" s="31" t="s">
        <v>50</v>
      </c>
      <c r="C5" s="32">
        <v>246</v>
      </c>
      <c r="D5" s="32">
        <v>197</v>
      </c>
      <c r="E5" s="33">
        <f t="shared" si="0"/>
        <v>-0.1991869918699187</v>
      </c>
      <c r="F5" s="20"/>
      <c r="G5" s="31" t="s">
        <v>51</v>
      </c>
      <c r="H5" s="32">
        <v>206</v>
      </c>
      <c r="I5" s="32">
        <v>198</v>
      </c>
      <c r="J5" s="34">
        <f t="shared" si="1"/>
        <v>4.0404040404040407E-2</v>
      </c>
      <c r="K5" s="20"/>
      <c r="L5" s="35" t="s">
        <v>52</v>
      </c>
      <c r="M5" s="36" t="s">
        <v>37</v>
      </c>
      <c r="N5" s="36" t="s">
        <v>37</v>
      </c>
      <c r="O5" s="37" t="s">
        <v>37</v>
      </c>
    </row>
    <row r="6" spans="2:15" ht="28.5">
      <c r="B6" s="27" t="s">
        <v>53</v>
      </c>
      <c r="C6" s="28">
        <v>28</v>
      </c>
      <c r="D6" s="28">
        <v>25</v>
      </c>
      <c r="E6" s="38">
        <f t="shared" si="0"/>
        <v>-0.10714285714285714</v>
      </c>
      <c r="F6" s="20"/>
      <c r="G6" s="27" t="s">
        <v>54</v>
      </c>
      <c r="H6" s="28">
        <v>54</v>
      </c>
      <c r="I6" s="28">
        <v>35</v>
      </c>
      <c r="J6" s="26">
        <f t="shared" si="1"/>
        <v>0.54285714285714282</v>
      </c>
      <c r="K6" s="20"/>
      <c r="L6" s="27" t="s">
        <v>55</v>
      </c>
      <c r="M6" s="29" t="s">
        <v>56</v>
      </c>
      <c r="N6" s="29" t="s">
        <v>57</v>
      </c>
      <c r="O6" s="30" t="s">
        <v>58</v>
      </c>
    </row>
    <row r="7" spans="2:15" ht="15">
      <c r="B7" s="31" t="s">
        <v>59</v>
      </c>
      <c r="C7" s="32">
        <v>66</v>
      </c>
      <c r="D7" s="32">
        <v>60</v>
      </c>
      <c r="E7" s="33">
        <f t="shared" si="0"/>
        <v>-9.0909090909090912E-2</v>
      </c>
      <c r="F7" s="20"/>
      <c r="G7" s="35" t="s">
        <v>60</v>
      </c>
      <c r="H7" s="18">
        <f>SUM(H4:H6)</f>
        <v>328</v>
      </c>
      <c r="I7" s="18">
        <f>SUM(I4:I6)</f>
        <v>396</v>
      </c>
      <c r="J7" s="34">
        <f t="shared" si="1"/>
        <v>-0.17171717171717171</v>
      </c>
      <c r="K7" s="20"/>
      <c r="L7" s="20"/>
      <c r="M7" s="20"/>
      <c r="N7" s="20"/>
      <c r="O7" s="20"/>
    </row>
    <row r="8" spans="2:15" ht="15">
      <c r="B8" s="24" t="s">
        <v>61</v>
      </c>
      <c r="C8" s="25">
        <v>16</v>
      </c>
      <c r="D8" s="25">
        <v>15</v>
      </c>
      <c r="E8" s="26">
        <f t="shared" si="0"/>
        <v>-6.25E-2</v>
      </c>
      <c r="F8" s="20"/>
      <c r="G8" s="27" t="s">
        <v>62</v>
      </c>
      <c r="H8" s="28">
        <v>-115</v>
      </c>
      <c r="I8" s="28">
        <v>-144</v>
      </c>
      <c r="J8" s="26">
        <f t="shared" si="1"/>
        <v>-0.2013888888888889</v>
      </c>
      <c r="K8" s="20"/>
      <c r="L8" s="20"/>
      <c r="M8" s="20"/>
      <c r="N8" s="20"/>
      <c r="O8" s="20"/>
    </row>
    <row r="9" spans="2:15" ht="28.5">
      <c r="B9" s="31" t="s">
        <v>63</v>
      </c>
      <c r="C9" s="32">
        <v>9</v>
      </c>
      <c r="D9" s="32">
        <v>8</v>
      </c>
      <c r="E9" s="33">
        <f t="shared" si="0"/>
        <v>-0.1111111111111111</v>
      </c>
      <c r="F9" s="20"/>
      <c r="G9" s="31" t="s">
        <v>64</v>
      </c>
      <c r="H9" s="32">
        <v>-33</v>
      </c>
      <c r="I9" s="32">
        <v>-38</v>
      </c>
      <c r="J9" s="34">
        <f t="shared" si="1"/>
        <v>-0.13157894736842105</v>
      </c>
      <c r="K9" s="20"/>
      <c r="L9" s="20"/>
      <c r="M9" s="20"/>
      <c r="N9" s="20"/>
      <c r="O9" s="20"/>
    </row>
    <row r="10" spans="2:15" ht="15">
      <c r="B10" s="27" t="s">
        <v>65</v>
      </c>
      <c r="C10" s="28">
        <v>5</v>
      </c>
      <c r="D10" s="28">
        <v>5</v>
      </c>
      <c r="E10" s="39" t="s">
        <v>66</v>
      </c>
      <c r="F10" s="20"/>
      <c r="G10" s="24" t="s">
        <v>67</v>
      </c>
      <c r="H10" s="25">
        <f>SUM(H8:H9)</f>
        <v>-148</v>
      </c>
      <c r="I10" s="25">
        <f>SUM(I8:I9)</f>
        <v>-182</v>
      </c>
      <c r="J10" s="30">
        <f t="shared" si="1"/>
        <v>-0.18681318681318682</v>
      </c>
      <c r="K10" s="20"/>
      <c r="L10" s="20"/>
      <c r="M10" s="20"/>
      <c r="N10" s="20"/>
      <c r="O10" s="20"/>
    </row>
    <row r="11" spans="2:15" ht="15">
      <c r="B11" s="31" t="s">
        <v>68</v>
      </c>
      <c r="C11" s="32">
        <v>2</v>
      </c>
      <c r="D11" s="32">
        <v>2</v>
      </c>
      <c r="E11" s="40" t="s">
        <v>66</v>
      </c>
      <c r="F11" s="20"/>
      <c r="G11" s="35" t="s">
        <v>69</v>
      </c>
      <c r="H11" s="18">
        <f>H7+H10</f>
        <v>180</v>
      </c>
      <c r="I11" s="18">
        <f>I7+I10</f>
        <v>214</v>
      </c>
      <c r="J11" s="37">
        <f t="shared" si="1"/>
        <v>-0.15887850467289719</v>
      </c>
      <c r="K11" s="20"/>
      <c r="L11" s="20"/>
      <c r="M11" s="20"/>
      <c r="N11" s="20"/>
      <c r="O11" s="20"/>
    </row>
    <row r="12" spans="2:15" ht="15">
      <c r="B12" s="24" t="s">
        <v>70</v>
      </c>
      <c r="C12" s="25">
        <v>38</v>
      </c>
      <c r="D12" s="25">
        <v>29</v>
      </c>
      <c r="E12" s="38">
        <f>-(C12-D12)/C12</f>
        <v>-0.23684210526315788</v>
      </c>
    </row>
    <row r="13" spans="2:15">
      <c r="B13" s="31" t="s">
        <v>71</v>
      </c>
      <c r="C13" s="41">
        <f>C12/C3</f>
        <v>9.6446700507614211E-2</v>
      </c>
      <c r="D13" s="41">
        <f>D12/D3</f>
        <v>8.8957055214723926E-2</v>
      </c>
      <c r="E13" s="31" t="s">
        <v>37</v>
      </c>
    </row>
  </sheetData>
  <mergeCells count="3">
    <mergeCell ref="B1:E1"/>
    <mergeCell ref="G1:J1"/>
    <mergeCell ref="L1:O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890E9-B664-4B55-AFE3-D59E7A94E053}">
  <dimension ref="A2:AM49"/>
  <sheetViews>
    <sheetView topLeftCell="A15" workbookViewId="0">
      <selection activeCell="J26" sqref="A1:XFD1048576"/>
    </sheetView>
  </sheetViews>
  <sheetFormatPr defaultRowHeight="14.25"/>
  <cols>
    <col min="1" max="1" width="40.7109375" style="13" bestFit="1" customWidth="1"/>
    <col min="2" max="2" width="18" style="13" bestFit="1" customWidth="1"/>
    <col min="3" max="3" width="13.140625" style="13" customWidth="1"/>
    <col min="4" max="4" width="12.5703125" style="13" bestFit="1" customWidth="1"/>
    <col min="5" max="5" width="11.85546875" style="13" bestFit="1" customWidth="1"/>
    <col min="6" max="7" width="9.140625" style="13"/>
    <col min="8" max="8" width="10.5703125" style="13" bestFit="1" customWidth="1"/>
    <col min="9" max="9" width="18.7109375" style="13" bestFit="1" customWidth="1"/>
    <col min="10" max="10" width="17.5703125" style="13" bestFit="1" customWidth="1"/>
    <col min="11" max="11" width="11.85546875" style="13" bestFit="1" customWidth="1"/>
    <col min="12" max="16384" width="9.140625" style="13"/>
  </cols>
  <sheetData>
    <row r="2" spans="1:39" ht="15">
      <c r="A2" s="54"/>
    </row>
    <row r="3" spans="1:39">
      <c r="B3" s="60"/>
    </row>
    <row r="4" spans="1:39" ht="15">
      <c r="A4" s="42" t="s">
        <v>72</v>
      </c>
      <c r="B4" s="43"/>
      <c r="C4" s="44"/>
      <c r="D4" s="44" t="s">
        <v>73</v>
      </c>
      <c r="E4" s="45" t="s">
        <v>74</v>
      </c>
      <c r="I4" s="42" t="s">
        <v>75</v>
      </c>
      <c r="J4" s="68"/>
    </row>
    <row r="5" spans="1:39" ht="15">
      <c r="A5" s="46" t="s">
        <v>76</v>
      </c>
      <c r="B5" s="69" t="s">
        <v>77</v>
      </c>
      <c r="C5" s="69" t="s">
        <v>78</v>
      </c>
      <c r="D5" s="70"/>
      <c r="E5" s="71"/>
      <c r="F5" s="72"/>
      <c r="G5" s="72"/>
      <c r="H5" s="72"/>
      <c r="I5" s="50" t="s">
        <v>79</v>
      </c>
      <c r="J5" s="73">
        <v>0.8</v>
      </c>
      <c r="O5" s="72"/>
      <c r="T5" s="72"/>
      <c r="U5" s="72"/>
      <c r="V5" s="72"/>
      <c r="W5" s="72"/>
      <c r="X5" s="72"/>
      <c r="Y5" s="72"/>
      <c r="Z5" s="72"/>
      <c r="AA5" s="72"/>
      <c r="AB5" s="72"/>
      <c r="AC5" s="72"/>
      <c r="AD5" s="72"/>
      <c r="AE5" s="72"/>
      <c r="AF5" s="72"/>
      <c r="AG5" s="72"/>
      <c r="AH5" s="72"/>
      <c r="AI5" s="72"/>
      <c r="AJ5" s="72"/>
      <c r="AK5" s="72"/>
      <c r="AL5" s="72"/>
      <c r="AM5" s="72"/>
    </row>
    <row r="6" spans="1:39" ht="15">
      <c r="A6" s="74" t="s">
        <v>80</v>
      </c>
      <c r="B6" s="75"/>
      <c r="C6" s="75"/>
      <c r="D6" s="76"/>
      <c r="E6" s="77"/>
      <c r="I6" s="50" t="s">
        <v>81</v>
      </c>
      <c r="J6" s="73">
        <v>0.2</v>
      </c>
      <c r="L6" s="72"/>
      <c r="M6" s="72"/>
      <c r="N6" s="72"/>
    </row>
    <row r="7" spans="1:39" ht="15">
      <c r="A7" s="78" t="s">
        <v>82</v>
      </c>
      <c r="B7" s="79">
        <f>'Data from MS project'!C94</f>
        <v>45658</v>
      </c>
      <c r="C7" s="79">
        <f>'Data from MS project'!D182</f>
        <v>46069</v>
      </c>
      <c r="D7" s="80">
        <v>607030</v>
      </c>
      <c r="E7" s="77"/>
      <c r="I7" s="50" t="s">
        <v>83</v>
      </c>
      <c r="J7" s="73">
        <v>0.49</v>
      </c>
    </row>
    <row r="8" spans="1:39" ht="15">
      <c r="A8" s="81" t="s">
        <v>74</v>
      </c>
      <c r="B8" s="76"/>
      <c r="C8" s="76"/>
      <c r="D8" s="80"/>
      <c r="E8" s="82">
        <f>SUM(D7:D7)</f>
        <v>607030</v>
      </c>
      <c r="I8" s="50" t="s">
        <v>84</v>
      </c>
      <c r="J8" s="73">
        <v>0.51</v>
      </c>
    </row>
    <row r="9" spans="1:39" ht="15">
      <c r="A9" s="46" t="s">
        <v>85</v>
      </c>
      <c r="B9" s="69"/>
      <c r="C9" s="69"/>
      <c r="D9" s="70"/>
      <c r="E9" s="71"/>
      <c r="I9" s="50"/>
      <c r="J9" s="53"/>
    </row>
    <row r="10" spans="1:39" ht="15">
      <c r="A10" s="78" t="s">
        <v>86</v>
      </c>
      <c r="B10" s="79">
        <f>'Data from MS project'!C3</f>
        <v>45306</v>
      </c>
      <c r="C10" s="79">
        <f>'Data from MS project'!D3</f>
        <v>45478</v>
      </c>
      <c r="D10" s="80">
        <f>'Data from MS project'!E3</f>
        <v>1342464</v>
      </c>
      <c r="E10" s="77"/>
      <c r="I10" s="50" t="s">
        <v>87</v>
      </c>
      <c r="J10" s="73">
        <v>0.34</v>
      </c>
      <c r="K10" s="83"/>
    </row>
    <row r="11" spans="1:39" ht="15">
      <c r="A11" s="78" t="s">
        <v>88</v>
      </c>
      <c r="B11" s="79">
        <f>'Data from MS project'!C15</f>
        <v>45467</v>
      </c>
      <c r="C11" s="79">
        <f>'Data from MS project'!D15</f>
        <v>45488</v>
      </c>
      <c r="D11" s="80">
        <f>'Data from MS project'!E15</f>
        <v>5670</v>
      </c>
      <c r="E11" s="77"/>
      <c r="I11" s="50"/>
      <c r="J11" s="53"/>
    </row>
    <row r="12" spans="1:39" ht="15">
      <c r="A12" s="78" t="s">
        <v>89</v>
      </c>
      <c r="B12" s="79">
        <f>'Data from MS project'!C29</f>
        <v>45485</v>
      </c>
      <c r="C12" s="79">
        <f>'Data from MS project'!D29</f>
        <v>45672</v>
      </c>
      <c r="D12" s="80">
        <f>'Data from MS project'!E29</f>
        <v>18686638</v>
      </c>
      <c r="E12" s="77"/>
      <c r="I12" s="84" t="s">
        <v>12</v>
      </c>
      <c r="J12" s="57">
        <f>SUM('Cash flow'!C34:D34)</f>
        <v>22796936.600000001</v>
      </c>
    </row>
    <row r="13" spans="1:39" ht="15">
      <c r="A13" s="78" t="s">
        <v>90</v>
      </c>
      <c r="B13" s="79">
        <f>'Data from MS project'!C66</f>
        <v>45485</v>
      </c>
      <c r="C13" s="79">
        <f>'Data from MS project'!D66</f>
        <v>45671</v>
      </c>
      <c r="D13" s="80">
        <f>'Data from MS project'!E66</f>
        <v>112550</v>
      </c>
      <c r="E13" s="77"/>
      <c r="I13" s="85" t="s">
        <v>91</v>
      </c>
      <c r="J13" s="57">
        <f>J6*J12</f>
        <v>4559387.32</v>
      </c>
    </row>
    <row r="14" spans="1:39" ht="15">
      <c r="A14" s="81" t="s">
        <v>74</v>
      </c>
      <c r="B14" s="76"/>
      <c r="C14" s="76"/>
      <c r="D14" s="80"/>
      <c r="E14" s="82">
        <f>SUM(D10:D13)</f>
        <v>20147322</v>
      </c>
      <c r="I14" s="86" t="s">
        <v>92</v>
      </c>
      <c r="J14" s="87">
        <f>J5*J12</f>
        <v>18237549.280000001</v>
      </c>
    </row>
    <row r="15" spans="1:39" ht="15">
      <c r="A15" s="50" t="s">
        <v>93</v>
      </c>
      <c r="B15" s="51" t="str">
        <f>'Data from MS project'!C2</f>
        <v>Mon 24-01-15</v>
      </c>
      <c r="C15" s="51" t="str">
        <f>'Data from MS project'!D2</f>
        <v>Tue 26-07-07</v>
      </c>
      <c r="E15" s="62">
        <f>SUM(D7:D9)</f>
        <v>607030</v>
      </c>
      <c r="I15" s="88"/>
    </row>
    <row r="16" spans="1:39" ht="15">
      <c r="A16" s="89"/>
      <c r="B16" s="89"/>
      <c r="C16" s="89"/>
      <c r="D16" s="89"/>
      <c r="E16" s="90"/>
    </row>
    <row r="17" spans="1:12">
      <c r="B17" s="60"/>
    </row>
    <row r="18" spans="1:12" ht="15">
      <c r="A18" s="42" t="s">
        <v>94</v>
      </c>
      <c r="B18" s="43"/>
      <c r="C18" s="44"/>
      <c r="D18" s="44" t="s">
        <v>73</v>
      </c>
      <c r="E18" s="45" t="s">
        <v>74</v>
      </c>
      <c r="I18" s="42"/>
      <c r="J18" s="43" t="s">
        <v>95</v>
      </c>
      <c r="K18" s="42"/>
      <c r="L18" s="68"/>
    </row>
    <row r="19" spans="1:12" ht="15">
      <c r="A19" s="46" t="s">
        <v>76</v>
      </c>
      <c r="B19" s="47" t="s">
        <v>77</v>
      </c>
      <c r="C19" s="47" t="s">
        <v>78</v>
      </c>
      <c r="D19" s="63"/>
      <c r="E19" s="49"/>
      <c r="F19" s="91"/>
      <c r="G19" s="75"/>
      <c r="I19" s="85"/>
      <c r="L19" s="92" t="s">
        <v>74</v>
      </c>
    </row>
    <row r="20" spans="1:12" ht="15">
      <c r="A20" s="74" t="s">
        <v>80</v>
      </c>
      <c r="B20" s="75"/>
      <c r="C20" s="75"/>
      <c r="E20" s="53"/>
      <c r="F20" s="91"/>
      <c r="G20" s="75"/>
      <c r="I20" s="50" t="s">
        <v>74</v>
      </c>
      <c r="J20" s="51">
        <v>45232</v>
      </c>
      <c r="K20" s="51">
        <v>46182</v>
      </c>
      <c r="L20" s="93"/>
    </row>
    <row r="21" spans="1:12" ht="15">
      <c r="A21" s="59" t="s">
        <v>96</v>
      </c>
      <c r="B21" s="51">
        <f>'Data from MS project'!M3</f>
        <v>45672</v>
      </c>
      <c r="C21" s="51">
        <f>'Data from MS project'!N3</f>
        <v>46206</v>
      </c>
      <c r="D21" s="60">
        <f>'Data from MS project'!O3</f>
        <v>248120</v>
      </c>
      <c r="E21" s="53"/>
      <c r="F21" s="91"/>
      <c r="G21" s="75"/>
      <c r="I21" s="85"/>
      <c r="L21" s="93"/>
    </row>
    <row r="22" spans="1:12" ht="15">
      <c r="A22" s="59" t="s">
        <v>97</v>
      </c>
      <c r="B22" s="51">
        <f>'Data from MS project'!M47</f>
        <v>46206</v>
      </c>
      <c r="C22" s="51">
        <f>'Data from MS project'!N47</f>
        <v>46209</v>
      </c>
      <c r="D22" s="60">
        <f>'Data from MS project'!O47</f>
        <v>2000</v>
      </c>
      <c r="E22" s="53"/>
      <c r="F22" s="91"/>
      <c r="G22" s="75"/>
      <c r="I22" s="85"/>
      <c r="L22" s="93"/>
    </row>
    <row r="23" spans="1:12" ht="15">
      <c r="A23" s="94" t="s">
        <v>74</v>
      </c>
      <c r="B23" s="95">
        <f>'Data from MS project'!M2</f>
        <v>45672</v>
      </c>
      <c r="C23" s="95">
        <f>'Data from MS project'!N2</f>
        <v>46209</v>
      </c>
      <c r="D23" s="96"/>
      <c r="E23" s="97">
        <f>SUM(D21:D22)</f>
        <v>250120</v>
      </c>
      <c r="F23" s="91"/>
      <c r="G23" s="75"/>
      <c r="I23" s="85" t="s">
        <v>98</v>
      </c>
      <c r="J23" s="51">
        <v>45232</v>
      </c>
      <c r="K23" s="51">
        <v>45291</v>
      </c>
      <c r="L23" s="93">
        <f>_xlfn.DAYS(K23,J23)</f>
        <v>59</v>
      </c>
    </row>
    <row r="24" spans="1:12" ht="15">
      <c r="A24" s="54"/>
      <c r="E24" s="52"/>
      <c r="G24" s="75"/>
      <c r="I24" s="86" t="s">
        <v>99</v>
      </c>
      <c r="J24" s="95">
        <v>46023</v>
      </c>
      <c r="K24" s="95">
        <v>46182</v>
      </c>
      <c r="L24" s="98">
        <f>_xlfn.DAYS(K24,J24)</f>
        <v>159</v>
      </c>
    </row>
    <row r="25" spans="1:12" ht="15">
      <c r="A25" s="54"/>
      <c r="B25" s="99"/>
      <c r="C25" s="99"/>
      <c r="D25" s="54"/>
      <c r="E25" s="72"/>
      <c r="G25" s="75"/>
      <c r="I25" s="100"/>
      <c r="J25" s="51"/>
      <c r="K25" s="51"/>
    </row>
    <row r="26" spans="1:12" ht="15">
      <c r="A26" s="42" t="s">
        <v>100</v>
      </c>
      <c r="B26" s="43"/>
      <c r="C26" s="44"/>
      <c r="D26" s="44" t="s">
        <v>73</v>
      </c>
      <c r="E26" s="45" t="s">
        <v>74</v>
      </c>
      <c r="G26" s="75"/>
      <c r="H26" s="75"/>
    </row>
    <row r="27" spans="1:12" ht="15">
      <c r="A27" s="46" t="s">
        <v>76</v>
      </c>
      <c r="B27" s="47" t="s">
        <v>77</v>
      </c>
      <c r="C27" s="47" t="s">
        <v>78</v>
      </c>
      <c r="D27" s="48"/>
      <c r="E27" s="49"/>
      <c r="G27" s="75"/>
      <c r="H27" s="75"/>
    </row>
    <row r="28" spans="1:12" ht="15">
      <c r="A28" s="50" t="s">
        <v>72</v>
      </c>
      <c r="B28" s="51" t="str">
        <f>B15</f>
        <v>Mon 24-01-15</v>
      </c>
      <c r="C28" s="51" t="str">
        <f>C15</f>
        <v>Tue 26-07-07</v>
      </c>
      <c r="D28" s="52">
        <f>E8</f>
        <v>607030</v>
      </c>
      <c r="E28" s="53"/>
      <c r="G28" s="75"/>
      <c r="H28" s="75"/>
    </row>
    <row r="29" spans="1:12" ht="15">
      <c r="A29" s="54" t="s">
        <v>94</v>
      </c>
      <c r="B29" s="51">
        <f>B23</f>
        <v>45672</v>
      </c>
      <c r="C29" s="51">
        <f>C23</f>
        <v>46209</v>
      </c>
      <c r="D29" s="55">
        <f>E23</f>
        <v>250120</v>
      </c>
      <c r="E29" s="53"/>
      <c r="H29" s="75"/>
      <c r="L29" s="60"/>
    </row>
    <row r="30" spans="1:12" ht="15">
      <c r="A30" s="54" t="s">
        <v>74</v>
      </c>
      <c r="B30" s="51" t="str">
        <f>B28</f>
        <v>Mon 24-01-15</v>
      </c>
      <c r="C30" s="51">
        <f>C29</f>
        <v>46209</v>
      </c>
      <c r="E30" s="56">
        <f>SUM(D28:D29)</f>
        <v>857150</v>
      </c>
      <c r="H30" s="75"/>
      <c r="L30" s="60"/>
    </row>
    <row r="31" spans="1:12" ht="15">
      <c r="A31" s="46" t="s">
        <v>85</v>
      </c>
      <c r="B31" s="47"/>
      <c r="C31" s="47"/>
      <c r="D31" s="48"/>
      <c r="E31" s="49"/>
      <c r="H31" s="75"/>
    </row>
    <row r="32" spans="1:12" ht="15">
      <c r="A32" s="50" t="s">
        <v>74</v>
      </c>
      <c r="D32" s="52"/>
      <c r="E32" s="57">
        <f>E14</f>
        <v>20147322</v>
      </c>
      <c r="H32" s="75"/>
    </row>
    <row r="33" spans="1:8" ht="15">
      <c r="A33" s="58" t="s">
        <v>14</v>
      </c>
      <c r="B33" s="47"/>
      <c r="C33" s="47"/>
      <c r="D33" s="47"/>
      <c r="E33" s="49"/>
    </row>
    <row r="34" spans="1:8">
      <c r="A34" s="59" t="s">
        <v>101</v>
      </c>
      <c r="D34" s="60">
        <f>(E32/10)/365</f>
        <v>5519.8142465753426</v>
      </c>
      <c r="E34" s="53"/>
    </row>
    <row r="35" spans="1:8" ht="15">
      <c r="A35" s="59" t="s">
        <v>102</v>
      </c>
      <c r="B35" s="51">
        <v>45306</v>
      </c>
      <c r="C35" s="51">
        <v>46210</v>
      </c>
      <c r="D35" s="13">
        <v>646.45000000000005</v>
      </c>
      <c r="E35" s="61"/>
    </row>
    <row r="36" spans="1:8" ht="15">
      <c r="A36" s="50" t="s">
        <v>14</v>
      </c>
      <c r="E36" s="62">
        <f>D35*D34</f>
        <v>3568283.9196986305</v>
      </c>
      <c r="H36" s="51"/>
    </row>
    <row r="37" spans="1:8" ht="15">
      <c r="A37" s="58" t="s">
        <v>103</v>
      </c>
      <c r="B37" s="63"/>
      <c r="C37" s="63"/>
      <c r="D37" s="63"/>
      <c r="E37" s="49"/>
    </row>
    <row r="38" spans="1:8">
      <c r="A38" s="59" t="s">
        <v>104</v>
      </c>
      <c r="E38" s="64"/>
    </row>
    <row r="39" spans="1:8" ht="15">
      <c r="A39" s="58" t="s">
        <v>105</v>
      </c>
      <c r="B39" s="63"/>
      <c r="C39" s="63"/>
      <c r="D39" s="63"/>
      <c r="E39" s="49"/>
    </row>
    <row r="40" spans="1:8">
      <c r="A40" s="59" t="s">
        <v>106</v>
      </c>
      <c r="E40" s="64"/>
    </row>
    <row r="41" spans="1:8" ht="15">
      <c r="A41" s="58" t="s">
        <v>107</v>
      </c>
      <c r="B41" s="63"/>
      <c r="C41" s="63"/>
      <c r="D41" s="63"/>
      <c r="E41" s="49"/>
    </row>
    <row r="42" spans="1:8">
      <c r="A42" s="59" t="s">
        <v>108</v>
      </c>
      <c r="E42" s="64"/>
    </row>
    <row r="43" spans="1:8" ht="15">
      <c r="A43" s="65" t="s">
        <v>109</v>
      </c>
      <c r="B43" s="66"/>
      <c r="C43" s="66"/>
      <c r="D43" s="66"/>
      <c r="E43" s="67"/>
      <c r="F43" s="91"/>
    </row>
    <row r="44" spans="1:8">
      <c r="F44" s="91"/>
    </row>
    <row r="46" spans="1:8" ht="15">
      <c r="A46" s="42" t="s">
        <v>110</v>
      </c>
      <c r="B46" s="42"/>
      <c r="C46" s="42"/>
      <c r="D46" s="42"/>
      <c r="E46" s="42"/>
    </row>
    <row r="47" spans="1:8">
      <c r="A47" s="13" t="s">
        <v>111</v>
      </c>
      <c r="B47" s="101">
        <v>18683200</v>
      </c>
    </row>
    <row r="48" spans="1:8">
      <c r="A48" s="13" t="s">
        <v>112</v>
      </c>
      <c r="B48" s="101">
        <f>B47*0.3</f>
        <v>5604960</v>
      </c>
    </row>
    <row r="49" spans="1:2">
      <c r="A49" s="13" t="s">
        <v>110</v>
      </c>
      <c r="B49" s="101">
        <f>(B47-B48)/10</f>
        <v>1307824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CB5B0-63CC-44B1-BC87-08F7E9D7D044}">
  <dimension ref="A1:S183"/>
  <sheetViews>
    <sheetView zoomScale="92" workbookViewId="0">
      <selection activeCell="Q7" sqref="A1:XFD1048576"/>
    </sheetView>
  </sheetViews>
  <sheetFormatPr defaultRowHeight="14.25"/>
  <cols>
    <col min="1" max="1" width="9.140625" style="13"/>
    <col min="2" max="2" width="32.7109375" style="13" customWidth="1"/>
    <col min="3" max="3" width="16.140625" style="13" customWidth="1"/>
    <col min="4" max="4" width="13.28515625" style="13" bestFit="1" customWidth="1"/>
    <col min="5" max="5" width="15.5703125" style="13" customWidth="1"/>
    <col min="6" max="8" width="0" style="13" hidden="1" customWidth="1"/>
    <col min="9" max="9" width="12.140625" style="13" customWidth="1"/>
    <col min="10" max="10" width="9.140625" style="13"/>
    <col min="11" max="11" width="10" style="13" bestFit="1" customWidth="1"/>
    <col min="12" max="12" width="24.28515625" style="13" customWidth="1"/>
    <col min="13" max="13" width="22.5703125" style="13" customWidth="1"/>
    <col min="14" max="14" width="12.140625" style="13" bestFit="1" customWidth="1"/>
    <col min="15" max="15" width="13.7109375" style="13" bestFit="1" customWidth="1"/>
    <col min="16" max="17" width="9.140625" style="13"/>
    <col min="18" max="18" width="14.85546875" style="13" customWidth="1"/>
    <col min="19" max="19" width="11.28515625" style="13" bestFit="1" customWidth="1"/>
    <col min="20" max="16384" width="9.140625" style="13"/>
  </cols>
  <sheetData>
    <row r="1" spans="1:19">
      <c r="A1" s="102" t="s">
        <v>113</v>
      </c>
      <c r="B1" s="103" t="s">
        <v>114</v>
      </c>
      <c r="C1" s="103" t="s">
        <v>115</v>
      </c>
      <c r="D1" s="103" t="s">
        <v>116</v>
      </c>
      <c r="E1" s="102" t="s">
        <v>117</v>
      </c>
      <c r="F1" s="102" t="s">
        <v>118</v>
      </c>
      <c r="G1" s="102" t="s">
        <v>119</v>
      </c>
      <c r="H1" s="102" t="s">
        <v>120</v>
      </c>
      <c r="K1" s="103" t="s">
        <v>113</v>
      </c>
      <c r="L1" s="103" t="s">
        <v>114</v>
      </c>
      <c r="M1" s="103" t="s">
        <v>115</v>
      </c>
      <c r="N1" s="103" t="s">
        <v>116</v>
      </c>
      <c r="O1" s="103" t="s">
        <v>121</v>
      </c>
    </row>
    <row r="2" spans="1:19" ht="22.9" customHeight="1">
      <c r="A2" s="104">
        <v>1</v>
      </c>
      <c r="B2" s="105" t="s">
        <v>122</v>
      </c>
      <c r="C2" s="105" t="s">
        <v>123</v>
      </c>
      <c r="D2" s="105" t="s">
        <v>124</v>
      </c>
      <c r="E2" s="106">
        <f>E3+E6+E15+E29+E94+E182+E81</f>
        <v>24611812</v>
      </c>
      <c r="F2" s="107">
        <v>0</v>
      </c>
      <c r="G2" s="107">
        <v>4579375</v>
      </c>
      <c r="H2" s="107">
        <v>0</v>
      </c>
      <c r="K2" s="105" t="s">
        <v>125</v>
      </c>
      <c r="L2" s="105" t="s">
        <v>126</v>
      </c>
      <c r="M2" s="108">
        <v>45672</v>
      </c>
      <c r="N2" s="108">
        <v>46209</v>
      </c>
      <c r="O2" s="109">
        <v>207682</v>
      </c>
      <c r="R2" s="110"/>
      <c r="S2" s="111"/>
    </row>
    <row r="3" spans="1:19" ht="22.9" customHeight="1">
      <c r="A3" s="105" t="s">
        <v>127</v>
      </c>
      <c r="B3" s="107" t="s">
        <v>128</v>
      </c>
      <c r="C3" s="111">
        <v>45306</v>
      </c>
      <c r="D3" s="111">
        <v>45478</v>
      </c>
      <c r="E3" s="112">
        <f>SUM(E4:E5)</f>
        <v>1342464</v>
      </c>
      <c r="F3" s="107">
        <v>0</v>
      </c>
      <c r="G3" s="107">
        <v>632320</v>
      </c>
      <c r="H3" s="107">
        <v>0</v>
      </c>
      <c r="I3" s="113"/>
      <c r="K3" s="105" t="s">
        <v>129</v>
      </c>
      <c r="L3" s="105" t="s">
        <v>130</v>
      </c>
      <c r="M3" s="108">
        <v>45672</v>
      </c>
      <c r="N3" s="108">
        <v>46206</v>
      </c>
      <c r="O3" s="114">
        <v>248120</v>
      </c>
    </row>
    <row r="4" spans="1:19" ht="22.9" customHeight="1">
      <c r="A4" s="105" t="s">
        <v>131</v>
      </c>
      <c r="B4" s="75" t="s">
        <v>132</v>
      </c>
      <c r="C4" s="115">
        <v>45306</v>
      </c>
      <c r="D4" s="115">
        <v>45478</v>
      </c>
      <c r="E4" s="116">
        <v>918528</v>
      </c>
      <c r="F4" s="75">
        <v>0</v>
      </c>
      <c r="G4" s="75">
        <v>432640</v>
      </c>
      <c r="H4" s="75">
        <v>0</v>
      </c>
      <c r="K4" s="105" t="s">
        <v>133</v>
      </c>
      <c r="L4" s="105" t="s">
        <v>134</v>
      </c>
      <c r="M4" s="108">
        <v>45672</v>
      </c>
      <c r="N4" s="108">
        <v>45728</v>
      </c>
      <c r="O4" s="114">
        <v>56256</v>
      </c>
    </row>
    <row r="5" spans="1:19" ht="22.9" customHeight="1">
      <c r="A5" s="117" t="s">
        <v>135</v>
      </c>
      <c r="B5" s="75" t="s">
        <v>136</v>
      </c>
      <c r="C5" s="115">
        <v>45306</v>
      </c>
      <c r="D5" s="115">
        <v>45467</v>
      </c>
      <c r="E5" s="116">
        <v>423936</v>
      </c>
      <c r="F5" s="75">
        <v>0</v>
      </c>
      <c r="G5" s="75">
        <v>199680</v>
      </c>
      <c r="H5" s="75">
        <v>0</v>
      </c>
      <c r="K5" s="117" t="s">
        <v>137</v>
      </c>
      <c r="L5" s="117" t="s">
        <v>138</v>
      </c>
      <c r="M5" s="118">
        <v>45672</v>
      </c>
      <c r="N5" s="118">
        <v>45684</v>
      </c>
      <c r="O5" s="119">
        <v>15040</v>
      </c>
    </row>
    <row r="6" spans="1:19" ht="22.9" customHeight="1">
      <c r="A6" s="117" t="s">
        <v>139</v>
      </c>
      <c r="B6" s="107" t="s">
        <v>140</v>
      </c>
      <c r="C6" s="111">
        <v>45478</v>
      </c>
      <c r="D6" s="111">
        <v>45721</v>
      </c>
      <c r="E6" s="112">
        <f>SUM(E7:E14)</f>
        <v>840</v>
      </c>
      <c r="F6" s="107">
        <v>0</v>
      </c>
      <c r="G6" s="107">
        <v>0</v>
      </c>
      <c r="H6" s="107">
        <v>0</v>
      </c>
      <c r="K6" s="105" t="s">
        <v>141</v>
      </c>
      <c r="L6" s="105" t="s">
        <v>142</v>
      </c>
      <c r="M6" s="111">
        <v>45684</v>
      </c>
      <c r="N6" s="111">
        <v>45694</v>
      </c>
      <c r="O6" s="114">
        <v>6464</v>
      </c>
    </row>
    <row r="7" spans="1:19" ht="22.9" customHeight="1">
      <c r="A7" s="105" t="s">
        <v>143</v>
      </c>
      <c r="B7" s="75" t="s">
        <v>144</v>
      </c>
      <c r="C7" s="115">
        <v>45478</v>
      </c>
      <c r="D7" s="115">
        <v>45555</v>
      </c>
      <c r="E7" s="120">
        <v>0</v>
      </c>
      <c r="F7" s="75">
        <v>0</v>
      </c>
      <c r="G7" s="75">
        <v>0</v>
      </c>
      <c r="H7" s="75">
        <v>0</v>
      </c>
      <c r="K7" s="117" t="s">
        <v>145</v>
      </c>
      <c r="L7" s="117" t="s">
        <v>146</v>
      </c>
      <c r="M7" s="115">
        <v>45684</v>
      </c>
      <c r="N7" s="115">
        <v>45686</v>
      </c>
      <c r="O7" s="116">
        <v>1616</v>
      </c>
    </row>
    <row r="8" spans="1:19" ht="22.9" customHeight="1">
      <c r="A8" s="117" t="s">
        <v>147</v>
      </c>
      <c r="B8" s="75" t="s">
        <v>148</v>
      </c>
      <c r="C8" s="115">
        <v>45520</v>
      </c>
      <c r="D8" s="115">
        <v>45562</v>
      </c>
      <c r="E8" s="120">
        <v>0</v>
      </c>
      <c r="F8" s="75">
        <v>0</v>
      </c>
      <c r="G8" s="75">
        <v>0</v>
      </c>
      <c r="H8" s="75">
        <v>0</v>
      </c>
      <c r="K8" s="117" t="s">
        <v>149</v>
      </c>
      <c r="L8" s="117" t="s">
        <v>150</v>
      </c>
      <c r="M8" s="115">
        <v>45686</v>
      </c>
      <c r="N8" s="115">
        <v>45688</v>
      </c>
      <c r="O8" s="116">
        <v>1616</v>
      </c>
    </row>
    <row r="9" spans="1:19" ht="22.9" customHeight="1">
      <c r="A9" s="117" t="s">
        <v>151</v>
      </c>
      <c r="B9" s="75" t="s">
        <v>152</v>
      </c>
      <c r="C9" s="115">
        <v>45541</v>
      </c>
      <c r="D9" s="115">
        <v>45562</v>
      </c>
      <c r="E9" s="120">
        <v>0</v>
      </c>
      <c r="F9" s="75">
        <v>0</v>
      </c>
      <c r="G9" s="75">
        <v>0</v>
      </c>
      <c r="H9" s="75">
        <v>0</v>
      </c>
      <c r="K9" s="117" t="s">
        <v>153</v>
      </c>
      <c r="L9" s="117" t="s">
        <v>154</v>
      </c>
      <c r="M9" s="115">
        <v>45688</v>
      </c>
      <c r="N9" s="115">
        <v>45692</v>
      </c>
      <c r="O9" s="116">
        <v>1616</v>
      </c>
    </row>
    <row r="10" spans="1:19" ht="22.9" customHeight="1">
      <c r="A10" s="117" t="s">
        <v>155</v>
      </c>
      <c r="B10" s="75" t="s">
        <v>156</v>
      </c>
      <c r="C10" s="115">
        <v>45562</v>
      </c>
      <c r="D10" s="115">
        <v>45604</v>
      </c>
      <c r="E10" s="120">
        <v>0</v>
      </c>
      <c r="F10" s="75">
        <v>0</v>
      </c>
      <c r="G10" s="75">
        <v>0</v>
      </c>
      <c r="H10" s="75">
        <v>0</v>
      </c>
      <c r="K10" s="117" t="s">
        <v>157</v>
      </c>
      <c r="L10" s="117" t="s">
        <v>158</v>
      </c>
      <c r="M10" s="115">
        <v>45692</v>
      </c>
      <c r="N10" s="115">
        <v>45694</v>
      </c>
      <c r="O10" s="116">
        <v>1616</v>
      </c>
    </row>
    <row r="11" spans="1:19" ht="22.9" customHeight="1">
      <c r="A11" s="117" t="s">
        <v>159</v>
      </c>
      <c r="B11" s="75" t="s">
        <v>160</v>
      </c>
      <c r="C11" s="115">
        <v>45583</v>
      </c>
      <c r="D11" s="115">
        <v>45632</v>
      </c>
      <c r="E11" s="120">
        <v>0</v>
      </c>
      <c r="F11" s="75">
        <v>0</v>
      </c>
      <c r="G11" s="75">
        <v>0</v>
      </c>
      <c r="H11" s="75">
        <v>0</v>
      </c>
      <c r="K11" s="117" t="s">
        <v>161</v>
      </c>
      <c r="L11" s="117" t="s">
        <v>162</v>
      </c>
      <c r="M11" s="115">
        <v>45694</v>
      </c>
      <c r="N11" s="115">
        <v>45706</v>
      </c>
      <c r="O11" s="119">
        <v>6464</v>
      </c>
    </row>
    <row r="12" spans="1:19" ht="22.9" customHeight="1">
      <c r="A12" s="117" t="s">
        <v>163</v>
      </c>
      <c r="B12" s="75" t="s">
        <v>164</v>
      </c>
      <c r="C12" s="115">
        <v>45632</v>
      </c>
      <c r="D12" s="115">
        <v>45681</v>
      </c>
      <c r="E12" s="120">
        <v>0</v>
      </c>
      <c r="F12" s="75">
        <v>0</v>
      </c>
      <c r="G12" s="75">
        <v>0</v>
      </c>
      <c r="H12" s="75">
        <v>0</v>
      </c>
      <c r="K12" s="105" t="s">
        <v>165</v>
      </c>
      <c r="L12" s="105" t="s">
        <v>166</v>
      </c>
      <c r="M12" s="111">
        <v>45706</v>
      </c>
      <c r="N12" s="111">
        <v>45716</v>
      </c>
      <c r="O12" s="114">
        <v>16000</v>
      </c>
    </row>
    <row r="13" spans="1:19" ht="22.9" customHeight="1">
      <c r="A13" s="117" t="s">
        <v>167</v>
      </c>
      <c r="B13" s="75" t="s">
        <v>168</v>
      </c>
      <c r="C13" s="118">
        <v>45667</v>
      </c>
      <c r="D13" s="118">
        <v>45721</v>
      </c>
      <c r="E13" s="120">
        <v>0</v>
      </c>
      <c r="F13" s="75">
        <v>0</v>
      </c>
      <c r="G13" s="75">
        <v>0</v>
      </c>
      <c r="H13" s="75">
        <v>0</v>
      </c>
      <c r="K13" s="117" t="s">
        <v>169</v>
      </c>
      <c r="L13" s="117" t="s">
        <v>170</v>
      </c>
      <c r="M13" s="115">
        <v>45706</v>
      </c>
      <c r="N13" s="115">
        <v>45709</v>
      </c>
      <c r="O13" s="119">
        <v>6000</v>
      </c>
    </row>
    <row r="14" spans="1:19" ht="22.9" customHeight="1">
      <c r="A14" s="117" t="s">
        <v>171</v>
      </c>
      <c r="B14" s="121" t="s">
        <v>172</v>
      </c>
      <c r="C14" s="118">
        <v>45721</v>
      </c>
      <c r="D14" s="118">
        <v>45722</v>
      </c>
      <c r="E14" s="122">
        <v>840</v>
      </c>
      <c r="F14" s="107">
        <v>0</v>
      </c>
      <c r="G14" s="107">
        <v>2520</v>
      </c>
      <c r="H14" s="107">
        <v>0</v>
      </c>
      <c r="K14" s="117" t="s">
        <v>173</v>
      </c>
      <c r="L14" s="117" t="s">
        <v>174</v>
      </c>
      <c r="M14" s="115">
        <v>45709</v>
      </c>
      <c r="N14" s="115">
        <v>45714</v>
      </c>
      <c r="O14" s="119">
        <v>6000</v>
      </c>
    </row>
    <row r="15" spans="1:19" ht="22.9" customHeight="1">
      <c r="A15" s="117" t="s">
        <v>175</v>
      </c>
      <c r="B15" s="107" t="s">
        <v>176</v>
      </c>
      <c r="C15" s="111">
        <v>45467</v>
      </c>
      <c r="D15" s="111">
        <v>45488</v>
      </c>
      <c r="E15" s="112">
        <f>SUM(E16:E19)</f>
        <v>5670</v>
      </c>
      <c r="F15" s="75">
        <v>0</v>
      </c>
      <c r="G15" s="75">
        <v>1400</v>
      </c>
      <c r="H15" s="75">
        <v>0</v>
      </c>
      <c r="K15" s="117" t="s">
        <v>177</v>
      </c>
      <c r="L15" s="117" t="s">
        <v>178</v>
      </c>
      <c r="M15" s="115">
        <v>45714</v>
      </c>
      <c r="N15" s="115">
        <v>45716</v>
      </c>
      <c r="O15" s="119">
        <v>4000</v>
      </c>
    </row>
    <row r="16" spans="1:19" ht="22.9" customHeight="1">
      <c r="A16" s="105" t="s">
        <v>179</v>
      </c>
      <c r="B16" s="75" t="s">
        <v>180</v>
      </c>
      <c r="C16" s="115">
        <v>45467</v>
      </c>
      <c r="D16" s="115">
        <v>45469</v>
      </c>
      <c r="E16" s="116">
        <v>2800</v>
      </c>
      <c r="F16" s="75">
        <v>0</v>
      </c>
      <c r="G16" s="75">
        <v>0</v>
      </c>
      <c r="H16" s="75">
        <v>0</v>
      </c>
      <c r="K16" s="117" t="s">
        <v>181</v>
      </c>
      <c r="L16" s="117" t="s">
        <v>182</v>
      </c>
      <c r="M16" s="115">
        <v>45716</v>
      </c>
      <c r="N16" s="115">
        <v>45728</v>
      </c>
      <c r="O16" s="119">
        <v>12288</v>
      </c>
    </row>
    <row r="17" spans="1:15" ht="22.9" customHeight="1">
      <c r="A17" s="117" t="s">
        <v>183</v>
      </c>
      <c r="B17" s="75" t="s">
        <v>184</v>
      </c>
      <c r="C17" s="115">
        <v>45469</v>
      </c>
      <c r="D17" s="115">
        <v>45483</v>
      </c>
      <c r="E17" s="120">
        <v>0</v>
      </c>
      <c r="F17" s="75">
        <v>0</v>
      </c>
      <c r="G17" s="75">
        <v>1120</v>
      </c>
      <c r="H17" s="75">
        <v>0</v>
      </c>
      <c r="K17" s="105" t="s">
        <v>185</v>
      </c>
      <c r="L17" s="105" t="s">
        <v>186</v>
      </c>
      <c r="M17" s="111">
        <v>45728</v>
      </c>
      <c r="N17" s="111">
        <v>45812</v>
      </c>
      <c r="O17" s="123">
        <v>48080</v>
      </c>
    </row>
    <row r="18" spans="1:15" ht="22.9" customHeight="1">
      <c r="A18" s="117" t="s">
        <v>187</v>
      </c>
      <c r="B18" s="75" t="s">
        <v>188</v>
      </c>
      <c r="C18" s="115">
        <v>45483</v>
      </c>
      <c r="D18" s="115">
        <v>45485</v>
      </c>
      <c r="E18" s="116">
        <v>2240</v>
      </c>
      <c r="F18" s="107">
        <v>0</v>
      </c>
      <c r="G18" s="107">
        <v>0</v>
      </c>
      <c r="H18" s="107">
        <v>0</v>
      </c>
      <c r="K18" s="117" t="s">
        <v>189</v>
      </c>
      <c r="L18" s="117" t="s">
        <v>190</v>
      </c>
      <c r="M18" s="115">
        <v>45728</v>
      </c>
      <c r="N18" s="115">
        <v>45742</v>
      </c>
      <c r="O18" s="124">
        <v>3040</v>
      </c>
    </row>
    <row r="19" spans="1:15" ht="22.9" customHeight="1">
      <c r="A19" s="117" t="s">
        <v>191</v>
      </c>
      <c r="B19" s="107" t="s">
        <v>192</v>
      </c>
      <c r="C19" s="111">
        <v>45485</v>
      </c>
      <c r="D19" s="111">
        <v>45488</v>
      </c>
      <c r="E19" s="112">
        <f>SUM(E20:E28)</f>
        <v>630</v>
      </c>
      <c r="F19" s="75">
        <v>0</v>
      </c>
      <c r="G19" s="75">
        <v>0</v>
      </c>
      <c r="H19" s="75">
        <v>0</v>
      </c>
      <c r="K19" s="117" t="s">
        <v>193</v>
      </c>
      <c r="L19" s="117" t="s">
        <v>194</v>
      </c>
      <c r="M19" s="115">
        <v>45742</v>
      </c>
      <c r="N19" s="115">
        <v>45756</v>
      </c>
      <c r="O19" s="124">
        <v>16040</v>
      </c>
    </row>
    <row r="20" spans="1:15" ht="22.9" customHeight="1">
      <c r="A20" s="105" t="s">
        <v>195</v>
      </c>
      <c r="B20" s="75" t="s">
        <v>196</v>
      </c>
      <c r="C20" s="115">
        <v>45485</v>
      </c>
      <c r="D20" s="115">
        <v>45485</v>
      </c>
      <c r="E20" s="120">
        <v>70</v>
      </c>
      <c r="F20" s="75">
        <v>0</v>
      </c>
      <c r="G20" s="75">
        <v>0</v>
      </c>
      <c r="H20" s="75">
        <v>0</v>
      </c>
      <c r="K20" s="117" t="s">
        <v>197</v>
      </c>
      <c r="L20" s="117" t="s">
        <v>198</v>
      </c>
      <c r="M20" s="115">
        <v>45756</v>
      </c>
      <c r="N20" s="115">
        <v>45770</v>
      </c>
      <c r="O20" s="124">
        <v>3040</v>
      </c>
    </row>
    <row r="21" spans="1:15" ht="22.9" customHeight="1">
      <c r="A21" s="117" t="s">
        <v>199</v>
      </c>
      <c r="B21" s="75" t="s">
        <v>200</v>
      </c>
      <c r="C21" s="115">
        <v>45485</v>
      </c>
      <c r="D21" s="115">
        <v>45485</v>
      </c>
      <c r="E21" s="120">
        <v>70</v>
      </c>
      <c r="F21" s="75">
        <v>0</v>
      </c>
      <c r="G21" s="75">
        <v>0</v>
      </c>
      <c r="H21" s="75">
        <v>0</v>
      </c>
      <c r="K21" s="117" t="s">
        <v>201</v>
      </c>
      <c r="L21" s="117" t="s">
        <v>202</v>
      </c>
      <c r="M21" s="115">
        <v>45770</v>
      </c>
      <c r="N21" s="115">
        <v>45784</v>
      </c>
      <c r="O21" s="124">
        <v>6480</v>
      </c>
    </row>
    <row r="22" spans="1:15" ht="22.9" customHeight="1">
      <c r="A22" s="117" t="s">
        <v>203</v>
      </c>
      <c r="B22" s="75" t="s">
        <v>204</v>
      </c>
      <c r="C22" s="115">
        <v>45485</v>
      </c>
      <c r="D22" s="115">
        <v>45485</v>
      </c>
      <c r="E22" s="120">
        <v>70</v>
      </c>
      <c r="F22" s="75">
        <v>0</v>
      </c>
      <c r="G22" s="75">
        <v>0</v>
      </c>
      <c r="H22" s="75">
        <v>0</v>
      </c>
      <c r="K22" s="117" t="s">
        <v>205</v>
      </c>
      <c r="L22" s="117" t="s">
        <v>206</v>
      </c>
      <c r="M22" s="115">
        <v>45784</v>
      </c>
      <c r="N22" s="115">
        <v>45798</v>
      </c>
      <c r="O22" s="124">
        <v>3440</v>
      </c>
    </row>
    <row r="23" spans="1:15" ht="22.9" customHeight="1">
      <c r="A23" s="117" t="s">
        <v>207</v>
      </c>
      <c r="B23" s="75" t="s">
        <v>208</v>
      </c>
      <c r="C23" s="115">
        <v>45485</v>
      </c>
      <c r="D23" s="115">
        <v>45485</v>
      </c>
      <c r="E23" s="120">
        <v>70</v>
      </c>
      <c r="F23" s="75">
        <v>0</v>
      </c>
      <c r="G23" s="75">
        <v>0</v>
      </c>
      <c r="H23" s="75">
        <v>0</v>
      </c>
      <c r="K23" s="117" t="s">
        <v>209</v>
      </c>
      <c r="L23" s="117" t="s">
        <v>210</v>
      </c>
      <c r="M23" s="115">
        <v>45798</v>
      </c>
      <c r="N23" s="115">
        <v>45812</v>
      </c>
      <c r="O23" s="124">
        <v>16040</v>
      </c>
    </row>
    <row r="24" spans="1:15" ht="22.9" customHeight="1">
      <c r="A24" s="117" t="s">
        <v>211</v>
      </c>
      <c r="B24" s="75" t="s">
        <v>212</v>
      </c>
      <c r="C24" s="115">
        <v>45485</v>
      </c>
      <c r="D24" s="115">
        <v>45485</v>
      </c>
      <c r="E24" s="120">
        <v>70</v>
      </c>
      <c r="F24" s="75">
        <v>0</v>
      </c>
      <c r="G24" s="75">
        <v>0</v>
      </c>
      <c r="H24" s="75">
        <v>0</v>
      </c>
      <c r="K24" s="105" t="s">
        <v>213</v>
      </c>
      <c r="L24" s="105" t="s">
        <v>214</v>
      </c>
      <c r="M24" s="111">
        <v>45812</v>
      </c>
      <c r="N24" s="111">
        <v>45952</v>
      </c>
      <c r="O24" s="123">
        <v>56880</v>
      </c>
    </row>
    <row r="25" spans="1:15" ht="22.9" customHeight="1">
      <c r="A25" s="117" t="s">
        <v>215</v>
      </c>
      <c r="B25" s="75" t="s">
        <v>216</v>
      </c>
      <c r="C25" s="115">
        <v>45485</v>
      </c>
      <c r="D25" s="115">
        <v>45485</v>
      </c>
      <c r="E25" s="120">
        <v>70</v>
      </c>
      <c r="F25" s="75">
        <v>0</v>
      </c>
      <c r="G25" s="75">
        <v>0</v>
      </c>
      <c r="H25" s="75">
        <v>0</v>
      </c>
      <c r="K25" s="117" t="s">
        <v>217</v>
      </c>
      <c r="L25" s="117" t="s">
        <v>218</v>
      </c>
      <c r="M25" s="115">
        <v>45812</v>
      </c>
      <c r="N25" s="115">
        <v>45840</v>
      </c>
      <c r="O25" s="124">
        <v>16320</v>
      </c>
    </row>
    <row r="26" spans="1:15" ht="22.9" customHeight="1">
      <c r="A26" s="117" t="s">
        <v>219</v>
      </c>
      <c r="B26" s="75" t="s">
        <v>220</v>
      </c>
      <c r="C26" s="115">
        <v>45485</v>
      </c>
      <c r="D26" s="115">
        <v>45485</v>
      </c>
      <c r="E26" s="120">
        <v>70</v>
      </c>
      <c r="F26" s="75">
        <v>0</v>
      </c>
      <c r="G26" s="75">
        <v>0</v>
      </c>
      <c r="H26" s="75">
        <v>0</v>
      </c>
      <c r="K26" s="117" t="s">
        <v>221</v>
      </c>
      <c r="L26" s="117" t="s">
        <v>222</v>
      </c>
      <c r="M26" s="115">
        <v>45840</v>
      </c>
      <c r="N26" s="115">
        <v>45868</v>
      </c>
      <c r="O26" s="124">
        <v>8080</v>
      </c>
    </row>
    <row r="27" spans="1:15" ht="22.9" customHeight="1">
      <c r="A27" s="117" t="s">
        <v>223</v>
      </c>
      <c r="B27" s="75" t="s">
        <v>224</v>
      </c>
      <c r="C27" s="115">
        <v>45485</v>
      </c>
      <c r="D27" s="115">
        <v>45485</v>
      </c>
      <c r="E27" s="120">
        <v>70</v>
      </c>
      <c r="F27" s="75">
        <v>0</v>
      </c>
      <c r="G27" s="75">
        <v>0</v>
      </c>
      <c r="H27" s="75">
        <v>0</v>
      </c>
      <c r="K27" s="117" t="s">
        <v>225</v>
      </c>
      <c r="L27" s="117" t="s">
        <v>226</v>
      </c>
      <c r="M27" s="115">
        <v>45868</v>
      </c>
      <c r="N27" s="115">
        <v>45896</v>
      </c>
      <c r="O27" s="124">
        <v>8080</v>
      </c>
    </row>
    <row r="28" spans="1:15" ht="22.9" customHeight="1">
      <c r="A28" s="117" t="s">
        <v>227</v>
      </c>
      <c r="B28" s="75" t="s">
        <v>228</v>
      </c>
      <c r="C28" s="115">
        <v>45485</v>
      </c>
      <c r="D28" s="115">
        <v>45488</v>
      </c>
      <c r="E28" s="120">
        <v>70</v>
      </c>
      <c r="F28" s="114"/>
      <c r="G28" s="107"/>
      <c r="H28" s="107"/>
      <c r="J28" s="105"/>
      <c r="K28" s="117" t="s">
        <v>229</v>
      </c>
      <c r="L28" s="117" t="s">
        <v>230</v>
      </c>
      <c r="M28" s="115">
        <v>45896</v>
      </c>
      <c r="N28" s="115">
        <v>45924</v>
      </c>
      <c r="O28" s="124">
        <v>8080</v>
      </c>
    </row>
    <row r="29" spans="1:15" ht="22.9" customHeight="1">
      <c r="A29" s="105" t="s">
        <v>231</v>
      </c>
      <c r="B29" s="105" t="s">
        <v>232</v>
      </c>
      <c r="C29" s="111">
        <v>45485</v>
      </c>
      <c r="D29" s="111">
        <v>45672</v>
      </c>
      <c r="E29" s="114">
        <f>E30+E34+E38+E42+E46+E50+E54+E58+E62+E66+E70+E74+E78</f>
        <v>18686638</v>
      </c>
      <c r="F29" s="114"/>
      <c r="G29" s="107"/>
      <c r="H29" s="107"/>
      <c r="J29" s="105"/>
      <c r="K29" s="117" t="s">
        <v>233</v>
      </c>
      <c r="L29" s="117" t="s">
        <v>234</v>
      </c>
      <c r="M29" s="115">
        <v>45924</v>
      </c>
      <c r="N29" s="115">
        <v>45952</v>
      </c>
      <c r="O29" s="124">
        <v>16320</v>
      </c>
    </row>
    <row r="30" spans="1:15" ht="22.9" customHeight="1">
      <c r="A30" s="105" t="s">
        <v>235</v>
      </c>
      <c r="B30" s="105" t="s">
        <v>236</v>
      </c>
      <c r="C30" s="111">
        <v>45485</v>
      </c>
      <c r="D30" s="111">
        <v>45642</v>
      </c>
      <c r="E30" s="114">
        <v>1020550</v>
      </c>
      <c r="F30" s="119"/>
      <c r="G30" s="75"/>
      <c r="H30" s="75"/>
      <c r="J30" s="117"/>
      <c r="K30" s="105" t="s">
        <v>237</v>
      </c>
      <c r="L30" s="105" t="s">
        <v>238</v>
      </c>
      <c r="M30" s="111">
        <v>46070</v>
      </c>
      <c r="N30" s="111">
        <v>46115</v>
      </c>
      <c r="O30" s="123">
        <v>19224</v>
      </c>
    </row>
    <row r="31" spans="1:15" ht="22.9" customHeight="1">
      <c r="A31" s="117" t="s">
        <v>239</v>
      </c>
      <c r="B31" s="117" t="s">
        <v>240</v>
      </c>
      <c r="C31" s="115">
        <v>45485</v>
      </c>
      <c r="D31" s="115">
        <v>45639</v>
      </c>
      <c r="E31" s="119">
        <v>1020000</v>
      </c>
      <c r="F31" s="119"/>
      <c r="G31" s="75"/>
      <c r="H31" s="75"/>
      <c r="J31" s="117"/>
      <c r="K31" s="117" t="s">
        <v>241</v>
      </c>
      <c r="L31" s="117" t="s">
        <v>242</v>
      </c>
      <c r="M31" s="115">
        <v>46070</v>
      </c>
      <c r="N31" s="115">
        <v>46078</v>
      </c>
      <c r="O31" s="124">
        <v>2424</v>
      </c>
    </row>
    <row r="32" spans="1:15" ht="22.9" customHeight="1">
      <c r="A32" s="117" t="s">
        <v>243</v>
      </c>
      <c r="B32" s="117" t="s">
        <v>244</v>
      </c>
      <c r="C32" s="115">
        <v>45639</v>
      </c>
      <c r="D32" s="115">
        <v>45642</v>
      </c>
      <c r="E32" s="119">
        <v>480</v>
      </c>
      <c r="F32" s="114"/>
      <c r="G32" s="107"/>
      <c r="H32" s="107"/>
      <c r="J32" s="105"/>
      <c r="K32" s="117" t="s">
        <v>245</v>
      </c>
      <c r="L32" s="117" t="s">
        <v>246</v>
      </c>
      <c r="M32" s="115">
        <v>46078</v>
      </c>
      <c r="N32" s="115">
        <v>46086</v>
      </c>
      <c r="O32" s="124">
        <v>2424</v>
      </c>
    </row>
    <row r="33" spans="1:15" ht="22.9" customHeight="1">
      <c r="A33" s="117" t="s">
        <v>247</v>
      </c>
      <c r="B33" s="117" t="s">
        <v>248</v>
      </c>
      <c r="C33" s="115">
        <v>45642</v>
      </c>
      <c r="D33" s="115">
        <v>45642</v>
      </c>
      <c r="E33" s="119">
        <v>70</v>
      </c>
      <c r="F33" s="119"/>
      <c r="G33" s="75"/>
      <c r="H33" s="75"/>
      <c r="J33" s="117"/>
      <c r="K33" s="117" t="s">
        <v>249</v>
      </c>
      <c r="L33" s="117" t="s">
        <v>250</v>
      </c>
      <c r="M33" s="115">
        <v>46086</v>
      </c>
      <c r="N33" s="115">
        <v>46091</v>
      </c>
      <c r="O33" s="124">
        <v>4992</v>
      </c>
    </row>
    <row r="34" spans="1:15" ht="22.9" customHeight="1">
      <c r="A34" s="105" t="s">
        <v>251</v>
      </c>
      <c r="B34" s="105" t="s">
        <v>252</v>
      </c>
      <c r="C34" s="111">
        <v>45485</v>
      </c>
      <c r="D34" s="111">
        <v>45642</v>
      </c>
      <c r="E34" s="114">
        <v>11000550</v>
      </c>
      <c r="F34" s="119"/>
      <c r="G34" s="75"/>
      <c r="H34" s="75"/>
      <c r="J34" s="117"/>
      <c r="K34" s="117" t="s">
        <v>253</v>
      </c>
      <c r="L34" s="117" t="s">
        <v>254</v>
      </c>
      <c r="M34" s="115">
        <v>46091</v>
      </c>
      <c r="N34" s="115">
        <v>46107</v>
      </c>
      <c r="O34" s="124">
        <v>3648</v>
      </c>
    </row>
    <row r="35" spans="1:15" ht="22.9" customHeight="1">
      <c r="A35" s="117" t="s">
        <v>255</v>
      </c>
      <c r="B35" s="117" t="s">
        <v>256</v>
      </c>
      <c r="C35" s="115">
        <v>45485</v>
      </c>
      <c r="D35" s="115">
        <v>45639</v>
      </c>
      <c r="E35" s="119">
        <v>11000000</v>
      </c>
      <c r="F35" s="114"/>
      <c r="G35" s="107"/>
      <c r="H35" s="107"/>
      <c r="J35" s="105"/>
      <c r="K35" s="117" t="s">
        <v>257</v>
      </c>
      <c r="L35" s="117" t="s">
        <v>258</v>
      </c>
      <c r="M35" s="115">
        <v>46107</v>
      </c>
      <c r="N35" s="115">
        <v>46115</v>
      </c>
      <c r="O35" s="124">
        <v>5736</v>
      </c>
    </row>
    <row r="36" spans="1:15" ht="22.9" customHeight="1">
      <c r="A36" s="117" t="s">
        <v>259</v>
      </c>
      <c r="B36" s="117" t="s">
        <v>244</v>
      </c>
      <c r="C36" s="115">
        <v>45639</v>
      </c>
      <c r="D36" s="115">
        <v>45642</v>
      </c>
      <c r="E36" s="119">
        <v>480</v>
      </c>
      <c r="F36" s="119"/>
      <c r="G36" s="75"/>
      <c r="H36" s="75"/>
      <c r="J36" s="117"/>
      <c r="K36" s="105" t="s">
        <v>260</v>
      </c>
      <c r="L36" s="105" t="s">
        <v>261</v>
      </c>
      <c r="M36" s="111">
        <v>46115</v>
      </c>
      <c r="N36" s="111">
        <v>46150</v>
      </c>
      <c r="O36" s="123">
        <v>11178</v>
      </c>
    </row>
    <row r="37" spans="1:15" ht="28.5">
      <c r="A37" s="117" t="s">
        <v>262</v>
      </c>
      <c r="B37" s="117" t="s">
        <v>248</v>
      </c>
      <c r="C37" s="115">
        <v>45642</v>
      </c>
      <c r="D37" s="115">
        <v>45642</v>
      </c>
      <c r="E37" s="119">
        <v>70</v>
      </c>
      <c r="F37" s="119"/>
      <c r="G37" s="75"/>
      <c r="H37" s="75"/>
      <c r="J37" s="117"/>
      <c r="K37" s="117" t="s">
        <v>263</v>
      </c>
      <c r="L37" s="117" t="s">
        <v>264</v>
      </c>
      <c r="M37" s="115">
        <v>46115</v>
      </c>
      <c r="N37" s="115">
        <v>46118</v>
      </c>
      <c r="O37" s="124">
        <v>1906</v>
      </c>
    </row>
    <row r="38" spans="1:15" ht="28.5">
      <c r="A38" s="105" t="s">
        <v>265</v>
      </c>
      <c r="B38" s="105" t="s">
        <v>266</v>
      </c>
      <c r="C38" s="111">
        <v>45485</v>
      </c>
      <c r="D38" s="111">
        <v>45580</v>
      </c>
      <c r="E38" s="114">
        <v>270550</v>
      </c>
      <c r="F38" s="114"/>
      <c r="G38" s="107"/>
      <c r="H38" s="107"/>
      <c r="J38" s="105"/>
      <c r="K38" s="117" t="s">
        <v>267</v>
      </c>
      <c r="L38" s="117" t="s">
        <v>268</v>
      </c>
      <c r="M38" s="115">
        <v>46118</v>
      </c>
      <c r="N38" s="115">
        <v>46132</v>
      </c>
      <c r="O38" s="124">
        <v>600</v>
      </c>
    </row>
    <row r="39" spans="1:15" ht="28.5">
      <c r="A39" s="117" t="s">
        <v>269</v>
      </c>
      <c r="B39" s="117" t="s">
        <v>270</v>
      </c>
      <c r="C39" s="115">
        <v>45485</v>
      </c>
      <c r="D39" s="115">
        <v>45579</v>
      </c>
      <c r="E39" s="119">
        <v>270000</v>
      </c>
      <c r="F39" s="125"/>
      <c r="G39" s="75"/>
      <c r="H39" s="75"/>
      <c r="J39" s="117"/>
      <c r="K39" s="117" t="s">
        <v>271</v>
      </c>
      <c r="L39" s="117" t="s">
        <v>272</v>
      </c>
      <c r="M39" s="115">
        <v>46132</v>
      </c>
      <c r="N39" s="115">
        <v>46139</v>
      </c>
      <c r="O39" s="124">
        <v>2060</v>
      </c>
    </row>
    <row r="40" spans="1:15" ht="28.5">
      <c r="A40" s="117" t="s">
        <v>273</v>
      </c>
      <c r="B40" s="117" t="s">
        <v>244</v>
      </c>
      <c r="C40" s="115">
        <v>45579</v>
      </c>
      <c r="D40" s="115">
        <v>45580</v>
      </c>
      <c r="E40" s="119">
        <v>480</v>
      </c>
      <c r="F40" s="119"/>
      <c r="G40" s="75"/>
      <c r="H40" s="75"/>
      <c r="J40" s="117"/>
      <c r="K40" s="117" t="s">
        <v>274</v>
      </c>
      <c r="L40" s="117" t="s">
        <v>275</v>
      </c>
      <c r="M40" s="115">
        <v>46139</v>
      </c>
      <c r="N40" s="115">
        <v>46143</v>
      </c>
      <c r="O40" s="124">
        <v>3072</v>
      </c>
    </row>
    <row r="41" spans="1:15" ht="28.5">
      <c r="A41" s="117" t="s">
        <v>276</v>
      </c>
      <c r="B41" s="117" t="s">
        <v>248</v>
      </c>
      <c r="C41" s="115">
        <v>45580</v>
      </c>
      <c r="D41" s="115">
        <v>45580</v>
      </c>
      <c r="E41" s="119">
        <v>70</v>
      </c>
      <c r="F41" s="114"/>
      <c r="G41" s="107"/>
      <c r="H41" s="107"/>
      <c r="J41" s="105"/>
      <c r="K41" s="117" t="s">
        <v>277</v>
      </c>
      <c r="L41" s="117" t="s">
        <v>278</v>
      </c>
      <c r="M41" s="115">
        <v>46143</v>
      </c>
      <c r="N41" s="115">
        <v>46150</v>
      </c>
      <c r="O41" s="124">
        <v>3540</v>
      </c>
    </row>
    <row r="42" spans="1:15" ht="15">
      <c r="A42" s="105" t="s">
        <v>279</v>
      </c>
      <c r="B42" s="105" t="s">
        <v>280</v>
      </c>
      <c r="C42" s="111">
        <v>45485</v>
      </c>
      <c r="D42" s="111">
        <v>45670</v>
      </c>
      <c r="E42" s="114">
        <v>250550</v>
      </c>
      <c r="F42" s="125"/>
      <c r="G42" s="75"/>
      <c r="H42" s="75"/>
      <c r="J42" s="117"/>
      <c r="K42" s="105" t="s">
        <v>281</v>
      </c>
      <c r="L42" s="105" t="s">
        <v>282</v>
      </c>
      <c r="M42" s="111">
        <v>46150</v>
      </c>
      <c r="N42" s="111">
        <v>46206</v>
      </c>
      <c r="O42" s="123">
        <v>22640</v>
      </c>
    </row>
    <row r="43" spans="1:15" ht="43.5">
      <c r="A43" s="117" t="s">
        <v>283</v>
      </c>
      <c r="B43" s="117" t="s">
        <v>284</v>
      </c>
      <c r="C43" s="115">
        <v>45485</v>
      </c>
      <c r="D43" s="115">
        <v>45667</v>
      </c>
      <c r="E43" s="125">
        <v>250000</v>
      </c>
      <c r="F43" s="119"/>
      <c r="G43" s="75"/>
      <c r="H43" s="75"/>
      <c r="J43" s="117"/>
      <c r="K43" s="117" t="s">
        <v>285</v>
      </c>
      <c r="L43" s="117" t="s">
        <v>286</v>
      </c>
      <c r="M43" s="115">
        <v>46150</v>
      </c>
      <c r="N43" s="115">
        <v>46164</v>
      </c>
      <c r="O43" s="124">
        <v>3640</v>
      </c>
    </row>
    <row r="44" spans="1:15" ht="28.5">
      <c r="A44" s="117" t="s">
        <v>287</v>
      </c>
      <c r="B44" s="117" t="s">
        <v>244</v>
      </c>
      <c r="C44" s="115">
        <v>45667</v>
      </c>
      <c r="D44" s="115">
        <v>45670</v>
      </c>
      <c r="E44" s="119">
        <v>480</v>
      </c>
      <c r="F44" s="114"/>
      <c r="G44" s="107"/>
      <c r="H44" s="107"/>
      <c r="J44" s="105"/>
      <c r="K44" s="117" t="s">
        <v>288</v>
      </c>
      <c r="L44" s="117" t="s">
        <v>289</v>
      </c>
      <c r="M44" s="115">
        <v>46164</v>
      </c>
      <c r="N44" s="115">
        <v>46178</v>
      </c>
      <c r="O44" s="124">
        <v>7680</v>
      </c>
    </row>
    <row r="45" spans="1:15" ht="28.5">
      <c r="A45" s="117" t="s">
        <v>290</v>
      </c>
      <c r="B45" s="117" t="s">
        <v>248</v>
      </c>
      <c r="C45" s="115">
        <v>45670</v>
      </c>
      <c r="D45" s="115">
        <v>45670</v>
      </c>
      <c r="E45" s="119">
        <v>70</v>
      </c>
      <c r="F45" s="119"/>
      <c r="G45" s="75"/>
      <c r="H45" s="75"/>
      <c r="J45" s="117"/>
      <c r="K45" s="117" t="s">
        <v>291</v>
      </c>
      <c r="L45" s="117" t="s">
        <v>292</v>
      </c>
      <c r="M45" s="115">
        <v>46178</v>
      </c>
      <c r="N45" s="115">
        <v>46192</v>
      </c>
      <c r="O45" s="124">
        <v>3640</v>
      </c>
    </row>
    <row r="46" spans="1:15" ht="15">
      <c r="A46" s="105" t="s">
        <v>293</v>
      </c>
      <c r="B46" s="105" t="s">
        <v>294</v>
      </c>
      <c r="C46" s="111">
        <v>45485</v>
      </c>
      <c r="D46" s="111">
        <v>45670</v>
      </c>
      <c r="E46" s="114">
        <v>70750</v>
      </c>
      <c r="F46" s="119"/>
      <c r="G46" s="75"/>
      <c r="H46" s="75"/>
      <c r="J46" s="117"/>
      <c r="K46" s="117" t="s">
        <v>295</v>
      </c>
      <c r="L46" s="117" t="s">
        <v>296</v>
      </c>
      <c r="M46" s="115">
        <v>46192</v>
      </c>
      <c r="N46" s="115">
        <v>46206</v>
      </c>
      <c r="O46" s="124">
        <v>7680</v>
      </c>
    </row>
    <row r="47" spans="1:15" ht="43.5">
      <c r="A47" s="117" t="s">
        <v>297</v>
      </c>
      <c r="B47" s="117" t="s">
        <v>298</v>
      </c>
      <c r="C47" s="115">
        <v>45485</v>
      </c>
      <c r="D47" s="115">
        <v>45667</v>
      </c>
      <c r="E47" s="125">
        <v>70200</v>
      </c>
      <c r="F47" s="114"/>
      <c r="G47" s="107"/>
      <c r="H47" s="107"/>
      <c r="J47" s="105"/>
      <c r="K47" s="117" t="s">
        <v>299</v>
      </c>
      <c r="L47" s="105" t="s">
        <v>300</v>
      </c>
      <c r="M47" s="115">
        <v>46206</v>
      </c>
      <c r="N47" s="115">
        <v>46209</v>
      </c>
      <c r="O47" s="124">
        <v>2000</v>
      </c>
    </row>
    <row r="48" spans="1:15">
      <c r="A48" s="117" t="s">
        <v>301</v>
      </c>
      <c r="B48" s="117" t="s">
        <v>244</v>
      </c>
      <c r="C48" s="115">
        <v>45667</v>
      </c>
      <c r="D48" s="115">
        <v>45670</v>
      </c>
      <c r="E48" s="119">
        <v>480</v>
      </c>
      <c r="F48" s="119"/>
      <c r="G48" s="75"/>
      <c r="H48" s="75"/>
      <c r="J48" s="117"/>
      <c r="K48" s="117"/>
      <c r="L48" s="117"/>
      <c r="M48" s="119"/>
    </row>
    <row r="49" spans="1:13" ht="15">
      <c r="A49" s="117" t="s">
        <v>302</v>
      </c>
      <c r="B49" s="117" t="s">
        <v>248</v>
      </c>
      <c r="C49" s="115">
        <v>45670</v>
      </c>
      <c r="D49" s="115">
        <v>45670</v>
      </c>
      <c r="E49" s="119">
        <v>70</v>
      </c>
      <c r="F49" s="119"/>
      <c r="G49" s="75"/>
      <c r="H49" s="75"/>
      <c r="J49" s="117"/>
      <c r="K49" s="105"/>
      <c r="L49" s="105"/>
      <c r="M49" s="114"/>
    </row>
    <row r="50" spans="1:13" ht="28.5">
      <c r="A50" s="105" t="s">
        <v>303</v>
      </c>
      <c r="B50" s="105" t="s">
        <v>304</v>
      </c>
      <c r="C50" s="111">
        <v>45485</v>
      </c>
      <c r="D50" s="111">
        <v>45586</v>
      </c>
      <c r="E50" s="114">
        <v>530550</v>
      </c>
      <c r="F50" s="114"/>
      <c r="G50" s="107"/>
      <c r="H50" s="107"/>
      <c r="J50" s="105"/>
      <c r="K50" s="117"/>
      <c r="L50" s="117"/>
      <c r="M50" s="125"/>
    </row>
    <row r="51" spans="1:13">
      <c r="A51" s="117" t="s">
        <v>305</v>
      </c>
      <c r="B51" s="117" t="s">
        <v>306</v>
      </c>
      <c r="C51" s="115">
        <v>45485</v>
      </c>
      <c r="D51" s="115">
        <v>45583</v>
      </c>
      <c r="E51" s="119">
        <v>530000</v>
      </c>
      <c r="F51" s="119"/>
      <c r="G51" s="75"/>
      <c r="H51" s="75"/>
      <c r="J51" s="117"/>
      <c r="K51" s="117"/>
      <c r="L51" s="117"/>
      <c r="M51" s="119"/>
    </row>
    <row r="52" spans="1:13" ht="15">
      <c r="A52" s="117" t="s">
        <v>307</v>
      </c>
      <c r="B52" s="117" t="s">
        <v>244</v>
      </c>
      <c r="C52" s="115">
        <v>45583</v>
      </c>
      <c r="D52" s="115">
        <v>45586</v>
      </c>
      <c r="E52" s="119">
        <v>480</v>
      </c>
      <c r="F52" s="119"/>
      <c r="G52" s="75"/>
      <c r="H52" s="75"/>
      <c r="J52" s="117"/>
      <c r="K52" s="105"/>
      <c r="L52" s="105"/>
      <c r="M52" s="114"/>
    </row>
    <row r="53" spans="1:13" ht="15">
      <c r="A53" s="117" t="s">
        <v>308</v>
      </c>
      <c r="B53" s="117" t="s">
        <v>248</v>
      </c>
      <c r="C53" s="115">
        <v>45586</v>
      </c>
      <c r="D53" s="115">
        <v>45586</v>
      </c>
      <c r="E53" s="119">
        <v>70</v>
      </c>
      <c r="F53" s="114"/>
      <c r="G53" s="107"/>
      <c r="H53" s="107"/>
      <c r="J53" s="105"/>
      <c r="K53" s="117"/>
      <c r="L53" s="117"/>
      <c r="M53" s="125"/>
    </row>
    <row r="54" spans="1:13" ht="15">
      <c r="A54" s="105" t="s">
        <v>309</v>
      </c>
      <c r="B54" s="105" t="s">
        <v>310</v>
      </c>
      <c r="C54" s="111">
        <v>45485</v>
      </c>
      <c r="D54" s="111">
        <v>45586</v>
      </c>
      <c r="E54" s="114">
        <v>970550</v>
      </c>
      <c r="F54" s="119"/>
      <c r="G54" s="75"/>
      <c r="H54" s="75"/>
      <c r="J54" s="117"/>
      <c r="K54" s="117"/>
      <c r="L54" s="117"/>
      <c r="M54" s="119"/>
    </row>
    <row r="55" spans="1:13" ht="15">
      <c r="A55" s="117" t="s">
        <v>311</v>
      </c>
      <c r="B55" s="117" t="s">
        <v>312</v>
      </c>
      <c r="C55" s="115">
        <v>45485</v>
      </c>
      <c r="D55" s="115">
        <v>45583</v>
      </c>
      <c r="E55" s="119">
        <v>970000</v>
      </c>
      <c r="F55" s="119"/>
      <c r="G55" s="75"/>
      <c r="H55" s="75"/>
      <c r="J55" s="117"/>
      <c r="K55" s="105"/>
      <c r="L55" s="105"/>
      <c r="M55" s="114"/>
    </row>
    <row r="56" spans="1:13" ht="15">
      <c r="A56" s="117" t="s">
        <v>313</v>
      </c>
      <c r="B56" s="117" t="s">
        <v>244</v>
      </c>
      <c r="C56" s="115">
        <v>45583</v>
      </c>
      <c r="D56" s="115">
        <v>45586</v>
      </c>
      <c r="E56" s="119">
        <v>480</v>
      </c>
      <c r="F56" s="114"/>
      <c r="G56" s="107"/>
      <c r="H56" s="107"/>
      <c r="J56" s="105"/>
      <c r="K56" s="117"/>
      <c r="L56" s="117"/>
      <c r="M56" s="119"/>
    </row>
    <row r="57" spans="1:13">
      <c r="A57" s="117" t="s">
        <v>314</v>
      </c>
      <c r="B57" s="117" t="s">
        <v>248</v>
      </c>
      <c r="C57" s="115">
        <v>45586</v>
      </c>
      <c r="D57" s="115">
        <v>45586</v>
      </c>
      <c r="E57" s="119">
        <v>70</v>
      </c>
      <c r="F57" s="119"/>
      <c r="G57" s="75"/>
      <c r="H57" s="75"/>
      <c r="J57" s="117"/>
      <c r="K57" s="117"/>
      <c r="L57" s="117"/>
      <c r="M57" s="119"/>
    </row>
    <row r="58" spans="1:13" ht="15">
      <c r="A58" s="105" t="s">
        <v>315</v>
      </c>
      <c r="B58" s="105" t="s">
        <v>316</v>
      </c>
      <c r="C58" s="111">
        <v>45485</v>
      </c>
      <c r="D58" s="111">
        <v>45629</v>
      </c>
      <c r="E58" s="114">
        <v>2200550</v>
      </c>
      <c r="F58" s="119"/>
      <c r="G58" s="75"/>
      <c r="H58" s="75"/>
      <c r="J58" s="117"/>
      <c r="K58" s="105"/>
      <c r="L58" s="105"/>
      <c r="M58" s="114"/>
    </row>
    <row r="59" spans="1:13" ht="15">
      <c r="A59" s="117" t="s">
        <v>317</v>
      </c>
      <c r="B59" s="117" t="s">
        <v>318</v>
      </c>
      <c r="C59" s="115">
        <v>45485</v>
      </c>
      <c r="D59" s="115">
        <v>45625</v>
      </c>
      <c r="E59" s="119">
        <v>2200000</v>
      </c>
      <c r="F59" s="114"/>
      <c r="G59" s="107"/>
      <c r="H59" s="107"/>
      <c r="J59" s="105"/>
      <c r="K59" s="117"/>
      <c r="L59" s="117"/>
      <c r="M59" s="119"/>
    </row>
    <row r="60" spans="1:13">
      <c r="A60" s="117" t="s">
        <v>319</v>
      </c>
      <c r="B60" s="117" t="s">
        <v>244</v>
      </c>
      <c r="C60" s="115">
        <v>45625</v>
      </c>
      <c r="D60" s="115">
        <v>45628</v>
      </c>
      <c r="E60" s="119">
        <v>480</v>
      </c>
      <c r="F60" s="119"/>
      <c r="G60" s="75"/>
      <c r="H60" s="75"/>
      <c r="J60" s="117"/>
      <c r="K60" s="117"/>
      <c r="L60" s="117"/>
      <c r="M60" s="119"/>
    </row>
    <row r="61" spans="1:13" ht="15">
      <c r="A61" s="117" t="s">
        <v>320</v>
      </c>
      <c r="B61" s="117" t="s">
        <v>248</v>
      </c>
      <c r="C61" s="115">
        <v>45628</v>
      </c>
      <c r="D61" s="115">
        <v>45629</v>
      </c>
      <c r="E61" s="119">
        <v>70</v>
      </c>
      <c r="F61" s="119"/>
      <c r="G61" s="75"/>
      <c r="H61" s="75"/>
      <c r="J61" s="117"/>
      <c r="K61" s="105"/>
      <c r="L61" s="105"/>
      <c r="M61" s="114"/>
    </row>
    <row r="62" spans="1:13" ht="15">
      <c r="A62" s="105" t="s">
        <v>321</v>
      </c>
      <c r="B62" s="105" t="s">
        <v>322</v>
      </c>
      <c r="C62" s="111">
        <v>45485</v>
      </c>
      <c r="D62" s="111">
        <v>45622</v>
      </c>
      <c r="E62" s="114">
        <v>2200550</v>
      </c>
      <c r="F62" s="114"/>
      <c r="G62" s="107"/>
      <c r="H62" s="107"/>
      <c r="J62" s="105"/>
      <c r="K62" s="117"/>
      <c r="L62" s="117"/>
      <c r="M62" s="119"/>
    </row>
    <row r="63" spans="1:13">
      <c r="A63" s="117" t="s">
        <v>323</v>
      </c>
      <c r="B63" s="117" t="s">
        <v>324</v>
      </c>
      <c r="C63" s="115">
        <v>45485</v>
      </c>
      <c r="D63" s="115">
        <v>45618</v>
      </c>
      <c r="E63" s="119">
        <v>2200000</v>
      </c>
      <c r="F63" s="119"/>
      <c r="G63" s="75"/>
      <c r="H63" s="75"/>
      <c r="J63" s="117"/>
      <c r="K63" s="117"/>
      <c r="L63" s="117"/>
      <c r="M63" s="119"/>
    </row>
    <row r="64" spans="1:13" ht="15">
      <c r="A64" s="117" t="s">
        <v>325</v>
      </c>
      <c r="B64" s="117" t="s">
        <v>244</v>
      </c>
      <c r="C64" s="115">
        <v>45618</v>
      </c>
      <c r="D64" s="115">
        <v>45621</v>
      </c>
      <c r="E64" s="119">
        <v>480</v>
      </c>
      <c r="F64" s="119"/>
      <c r="G64" s="75"/>
      <c r="H64" s="75"/>
      <c r="J64" s="117"/>
      <c r="K64" s="105"/>
      <c r="L64" s="105"/>
      <c r="M64" s="114"/>
    </row>
    <row r="65" spans="1:13" ht="15">
      <c r="A65" s="117" t="s">
        <v>326</v>
      </c>
      <c r="B65" s="117" t="s">
        <v>248</v>
      </c>
      <c r="C65" s="115">
        <v>45621</v>
      </c>
      <c r="D65" s="115">
        <v>45622</v>
      </c>
      <c r="E65" s="119">
        <v>70</v>
      </c>
      <c r="F65" s="107">
        <v>0</v>
      </c>
      <c r="G65" s="107">
        <v>253675</v>
      </c>
      <c r="H65" s="107">
        <v>0</v>
      </c>
      <c r="K65" s="117"/>
      <c r="L65" s="117"/>
      <c r="M65" s="119"/>
    </row>
    <row r="66" spans="1:13" ht="15">
      <c r="A66" s="105" t="s">
        <v>327</v>
      </c>
      <c r="B66" s="105" t="s">
        <v>328</v>
      </c>
      <c r="C66" s="111">
        <v>45485</v>
      </c>
      <c r="D66" s="111">
        <v>45671</v>
      </c>
      <c r="E66" s="114">
        <v>112550</v>
      </c>
      <c r="F66" s="75">
        <v>0</v>
      </c>
      <c r="G66" s="75">
        <v>62500</v>
      </c>
      <c r="H66" s="75">
        <v>0</v>
      </c>
      <c r="K66" s="117"/>
      <c r="L66" s="117"/>
      <c r="M66" s="119"/>
    </row>
    <row r="67" spans="1:13" ht="15">
      <c r="A67" s="117" t="s">
        <v>329</v>
      </c>
      <c r="B67" s="117" t="s">
        <v>330</v>
      </c>
      <c r="C67" s="115">
        <v>45485</v>
      </c>
      <c r="D67" s="115">
        <v>45667</v>
      </c>
      <c r="E67" s="119">
        <v>112000</v>
      </c>
      <c r="F67" s="75">
        <v>0</v>
      </c>
      <c r="G67" s="75">
        <v>62500</v>
      </c>
      <c r="H67" s="75">
        <v>0</v>
      </c>
      <c r="K67" s="105"/>
      <c r="L67" s="105"/>
      <c r="M67" s="114"/>
    </row>
    <row r="68" spans="1:13">
      <c r="A68" s="117" t="s">
        <v>331</v>
      </c>
      <c r="B68" s="117" t="s">
        <v>244</v>
      </c>
      <c r="C68" s="115">
        <v>45667</v>
      </c>
      <c r="D68" s="115">
        <v>45670</v>
      </c>
      <c r="E68" s="119">
        <v>480</v>
      </c>
      <c r="F68" s="75">
        <v>0</v>
      </c>
      <c r="G68" s="75">
        <v>55000</v>
      </c>
      <c r="H68" s="75">
        <v>0</v>
      </c>
      <c r="K68" s="117"/>
      <c r="L68" s="117"/>
      <c r="M68" s="119"/>
    </row>
    <row r="69" spans="1:13">
      <c r="A69" s="117" t="s">
        <v>332</v>
      </c>
      <c r="B69" s="117" t="s">
        <v>248</v>
      </c>
      <c r="C69" s="115">
        <v>45670</v>
      </c>
      <c r="D69" s="115">
        <v>45671</v>
      </c>
      <c r="E69" s="119">
        <v>70</v>
      </c>
      <c r="F69" s="75">
        <v>0</v>
      </c>
      <c r="G69" s="75">
        <v>7500</v>
      </c>
      <c r="H69" s="75">
        <v>0</v>
      </c>
      <c r="K69" s="117"/>
      <c r="L69" s="117"/>
      <c r="M69" s="119"/>
    </row>
    <row r="70" spans="1:13" ht="15">
      <c r="A70" s="105" t="s">
        <v>333</v>
      </c>
      <c r="B70" s="105" t="s">
        <v>334</v>
      </c>
      <c r="C70" s="111">
        <v>45485</v>
      </c>
      <c r="D70" s="111">
        <v>45671</v>
      </c>
      <c r="E70" s="114">
        <v>32950</v>
      </c>
      <c r="F70" s="75">
        <v>0</v>
      </c>
      <c r="G70" s="75">
        <v>975</v>
      </c>
      <c r="H70" s="75">
        <v>0</v>
      </c>
      <c r="K70" s="105"/>
      <c r="L70" s="105"/>
      <c r="M70" s="114"/>
    </row>
    <row r="71" spans="1:13">
      <c r="A71" s="117" t="s">
        <v>335</v>
      </c>
      <c r="B71" s="117" t="s">
        <v>336</v>
      </c>
      <c r="C71" s="115">
        <v>45485</v>
      </c>
      <c r="D71" s="115">
        <v>45667</v>
      </c>
      <c r="E71" s="119">
        <v>32400</v>
      </c>
      <c r="F71" s="75">
        <v>0</v>
      </c>
      <c r="G71" s="75">
        <v>1000</v>
      </c>
      <c r="H71" s="75">
        <v>0</v>
      </c>
      <c r="K71" s="117"/>
      <c r="L71" s="117"/>
      <c r="M71" s="119"/>
    </row>
    <row r="72" spans="1:13">
      <c r="A72" s="117" t="s">
        <v>337</v>
      </c>
      <c r="B72" s="117" t="s">
        <v>244</v>
      </c>
      <c r="C72" s="115">
        <v>45667</v>
      </c>
      <c r="D72" s="115">
        <v>45670</v>
      </c>
      <c r="E72" s="119">
        <v>480</v>
      </c>
      <c r="F72" s="75">
        <v>0</v>
      </c>
      <c r="G72" s="75">
        <v>31250</v>
      </c>
      <c r="H72" s="75">
        <v>0</v>
      </c>
      <c r="K72" s="117"/>
      <c r="L72" s="117"/>
      <c r="M72" s="119"/>
    </row>
    <row r="73" spans="1:13" ht="15">
      <c r="A73" s="117" t="s">
        <v>338</v>
      </c>
      <c r="B73" s="117" t="s">
        <v>248</v>
      </c>
      <c r="C73" s="115">
        <v>45670</v>
      </c>
      <c r="D73" s="115">
        <v>45671</v>
      </c>
      <c r="E73" s="119">
        <v>70</v>
      </c>
      <c r="F73" s="75">
        <v>0</v>
      </c>
      <c r="G73" s="75">
        <v>2450</v>
      </c>
      <c r="H73" s="75">
        <v>0</v>
      </c>
      <c r="K73" s="105"/>
      <c r="L73" s="105"/>
      <c r="M73" s="114"/>
    </row>
    <row r="74" spans="1:13" ht="15">
      <c r="A74" s="105" t="s">
        <v>339</v>
      </c>
      <c r="B74" s="105" t="s">
        <v>340</v>
      </c>
      <c r="C74" s="111">
        <v>45488</v>
      </c>
      <c r="D74" s="111">
        <v>45671</v>
      </c>
      <c r="E74" s="114">
        <v>22550</v>
      </c>
      <c r="F74" s="75">
        <v>0</v>
      </c>
      <c r="G74" s="75">
        <v>1000</v>
      </c>
      <c r="H74" s="75">
        <v>0</v>
      </c>
      <c r="K74" s="117"/>
      <c r="L74" s="117"/>
      <c r="M74" s="119"/>
    </row>
    <row r="75" spans="1:13">
      <c r="A75" s="117" t="s">
        <v>341</v>
      </c>
      <c r="B75" s="117" t="s">
        <v>342</v>
      </c>
      <c r="C75" s="115">
        <v>45488</v>
      </c>
      <c r="D75" s="115">
        <v>45670</v>
      </c>
      <c r="E75" s="119">
        <v>22000</v>
      </c>
      <c r="F75" s="75">
        <v>0</v>
      </c>
      <c r="G75" s="75">
        <v>14000</v>
      </c>
      <c r="H75" s="75">
        <v>0</v>
      </c>
      <c r="K75" s="117"/>
      <c r="L75" s="117"/>
      <c r="M75" s="119"/>
    </row>
    <row r="76" spans="1:13">
      <c r="A76" s="117" t="s">
        <v>343</v>
      </c>
      <c r="B76" s="117" t="s">
        <v>244</v>
      </c>
      <c r="C76" s="115">
        <v>45670</v>
      </c>
      <c r="D76" s="115">
        <v>45671</v>
      </c>
      <c r="E76" s="119">
        <v>480</v>
      </c>
      <c r="F76" s="75">
        <v>0</v>
      </c>
      <c r="G76" s="75">
        <v>14000</v>
      </c>
      <c r="H76" s="75">
        <v>0</v>
      </c>
    </row>
    <row r="77" spans="1:13">
      <c r="A77" s="117" t="s">
        <v>344</v>
      </c>
      <c r="B77" s="117" t="s">
        <v>248</v>
      </c>
      <c r="C77" s="115">
        <v>45671</v>
      </c>
      <c r="D77" s="115">
        <v>45671</v>
      </c>
      <c r="E77" s="119">
        <v>70</v>
      </c>
      <c r="F77" s="75">
        <v>0</v>
      </c>
      <c r="G77" s="75">
        <v>1500</v>
      </c>
      <c r="H77" s="75">
        <v>0</v>
      </c>
    </row>
    <row r="78" spans="1:13" ht="15">
      <c r="A78" s="126" t="s">
        <v>345</v>
      </c>
      <c r="B78" s="105" t="s">
        <v>346</v>
      </c>
      <c r="C78" s="111">
        <v>45671</v>
      </c>
      <c r="D78" s="111">
        <v>45672</v>
      </c>
      <c r="E78" s="123">
        <v>3438</v>
      </c>
      <c r="F78" s="75"/>
      <c r="G78" s="75"/>
      <c r="H78" s="75"/>
    </row>
    <row r="79" spans="1:13">
      <c r="A79" s="121" t="s">
        <v>347</v>
      </c>
      <c r="B79" s="117" t="s">
        <v>348</v>
      </c>
      <c r="C79" s="115">
        <v>45671</v>
      </c>
      <c r="D79" s="115">
        <v>45671</v>
      </c>
      <c r="E79" s="124">
        <v>1280</v>
      </c>
      <c r="F79" s="75"/>
      <c r="G79" s="75"/>
      <c r="H79" s="75"/>
    </row>
    <row r="80" spans="1:13">
      <c r="A80" s="121" t="s">
        <v>349</v>
      </c>
      <c r="B80" s="117" t="s">
        <v>350</v>
      </c>
      <c r="C80" s="115">
        <v>45671</v>
      </c>
      <c r="D80" s="115">
        <v>45672</v>
      </c>
      <c r="E80" s="124">
        <v>2158</v>
      </c>
      <c r="F80" s="75"/>
      <c r="G80" s="75"/>
      <c r="H80" s="75"/>
    </row>
    <row r="81" spans="1:8" ht="43.5">
      <c r="A81" s="105" t="s">
        <v>351</v>
      </c>
      <c r="B81" s="105" t="s">
        <v>352</v>
      </c>
      <c r="C81" s="111">
        <v>45580</v>
      </c>
      <c r="D81" s="111">
        <v>45755</v>
      </c>
      <c r="E81" s="123">
        <v>143000</v>
      </c>
      <c r="F81" s="75"/>
      <c r="G81" s="75"/>
      <c r="H81" s="75"/>
    </row>
    <row r="82" spans="1:8">
      <c r="A82" s="117" t="s">
        <v>353</v>
      </c>
      <c r="B82" s="117" t="s">
        <v>354</v>
      </c>
      <c r="C82" s="115">
        <v>45642</v>
      </c>
      <c r="D82" s="115">
        <v>45726</v>
      </c>
      <c r="E82" s="124">
        <v>10000</v>
      </c>
      <c r="F82" s="75"/>
      <c r="G82" s="75"/>
      <c r="H82" s="75"/>
    </row>
    <row r="83" spans="1:8">
      <c r="A83" s="117" t="s">
        <v>355</v>
      </c>
      <c r="B83" s="127" t="s">
        <v>252</v>
      </c>
      <c r="C83" s="115">
        <v>45642</v>
      </c>
      <c r="D83" s="115">
        <v>45726</v>
      </c>
      <c r="E83" s="128">
        <v>55000</v>
      </c>
      <c r="F83" s="75"/>
      <c r="G83" s="75"/>
      <c r="H83" s="75"/>
    </row>
    <row r="84" spans="1:8">
      <c r="A84" s="117" t="s">
        <v>356</v>
      </c>
      <c r="B84" s="117" t="s">
        <v>357</v>
      </c>
      <c r="C84" s="115">
        <v>45580</v>
      </c>
      <c r="D84" s="115">
        <v>45664</v>
      </c>
      <c r="E84" s="124">
        <v>5000</v>
      </c>
      <c r="F84" s="75"/>
      <c r="G84" s="75"/>
      <c r="H84" s="75"/>
    </row>
    <row r="85" spans="1:8">
      <c r="A85" s="117" t="s">
        <v>358</v>
      </c>
      <c r="B85" s="117" t="s">
        <v>359</v>
      </c>
      <c r="C85" s="115">
        <v>45670</v>
      </c>
      <c r="D85" s="115">
        <v>45691</v>
      </c>
      <c r="E85" s="124">
        <v>7500</v>
      </c>
      <c r="F85" s="75"/>
      <c r="G85" s="75"/>
      <c r="H85" s="75"/>
    </row>
    <row r="86" spans="1:8">
      <c r="A86" s="117" t="s">
        <v>360</v>
      </c>
      <c r="B86" s="117" t="s">
        <v>294</v>
      </c>
      <c r="C86" s="115">
        <v>45670</v>
      </c>
      <c r="D86" s="115">
        <v>45691</v>
      </c>
      <c r="E86" s="124">
        <v>1500</v>
      </c>
      <c r="F86" s="75"/>
      <c r="G86" s="75"/>
      <c r="H86" s="75"/>
    </row>
    <row r="87" spans="1:8">
      <c r="A87" s="117" t="s">
        <v>361</v>
      </c>
      <c r="B87" s="117" t="s">
        <v>340</v>
      </c>
      <c r="C87" s="115">
        <v>45671</v>
      </c>
      <c r="D87" s="115">
        <v>45755</v>
      </c>
      <c r="E87" s="124">
        <v>5000</v>
      </c>
      <c r="F87" s="75"/>
      <c r="G87" s="75"/>
      <c r="H87" s="75"/>
    </row>
    <row r="88" spans="1:8">
      <c r="A88" s="117" t="s">
        <v>362</v>
      </c>
      <c r="B88" s="117" t="s">
        <v>363</v>
      </c>
      <c r="C88" s="115">
        <v>45622</v>
      </c>
      <c r="D88" s="115">
        <v>45706</v>
      </c>
      <c r="E88" s="124">
        <v>35000</v>
      </c>
      <c r="F88" s="75"/>
      <c r="G88" s="75"/>
      <c r="H88" s="75"/>
    </row>
    <row r="89" spans="1:8">
      <c r="A89" s="117" t="s">
        <v>364</v>
      </c>
      <c r="B89" s="117" t="s">
        <v>365</v>
      </c>
      <c r="C89" s="115">
        <v>45671</v>
      </c>
      <c r="D89" s="115">
        <v>45734</v>
      </c>
      <c r="E89" s="124">
        <v>3500</v>
      </c>
      <c r="F89" s="75"/>
      <c r="G89" s="75"/>
      <c r="H89" s="75"/>
    </row>
    <row r="90" spans="1:8">
      <c r="A90" s="117" t="s">
        <v>366</v>
      </c>
      <c r="B90" s="117" t="s">
        <v>334</v>
      </c>
      <c r="C90" s="115">
        <v>45671</v>
      </c>
      <c r="D90" s="115">
        <v>45755</v>
      </c>
      <c r="E90" s="124">
        <v>5000</v>
      </c>
      <c r="F90" s="75"/>
      <c r="G90" s="75"/>
      <c r="H90" s="75"/>
    </row>
    <row r="91" spans="1:8">
      <c r="A91" s="117" t="s">
        <v>367</v>
      </c>
      <c r="B91" s="117" t="s">
        <v>368</v>
      </c>
      <c r="C91" s="115">
        <v>45595</v>
      </c>
      <c r="D91" s="115">
        <v>45658</v>
      </c>
      <c r="E91" s="124">
        <v>7000</v>
      </c>
      <c r="F91" s="75"/>
      <c r="G91" s="75"/>
      <c r="H91" s="75"/>
    </row>
    <row r="92" spans="1:8">
      <c r="A92" s="117" t="s">
        <v>369</v>
      </c>
      <c r="B92" s="117" t="s">
        <v>370</v>
      </c>
      <c r="C92" s="115">
        <v>45595</v>
      </c>
      <c r="D92" s="115">
        <v>45658</v>
      </c>
      <c r="E92" s="124">
        <v>7000</v>
      </c>
      <c r="F92" s="75"/>
      <c r="G92" s="75"/>
      <c r="H92" s="75"/>
    </row>
    <row r="93" spans="1:8">
      <c r="A93" s="117" t="s">
        <v>371</v>
      </c>
      <c r="B93" s="117" t="s">
        <v>316</v>
      </c>
      <c r="C93" s="115">
        <v>45637</v>
      </c>
      <c r="D93" s="115">
        <v>45658</v>
      </c>
      <c r="E93" s="124">
        <v>1500</v>
      </c>
      <c r="F93" s="75"/>
      <c r="G93" s="75"/>
      <c r="H93" s="75"/>
    </row>
    <row r="94" spans="1:8" ht="15">
      <c r="A94" s="107" t="s">
        <v>372</v>
      </c>
      <c r="B94" s="107" t="s">
        <v>373</v>
      </c>
      <c r="C94" s="111">
        <v>45658</v>
      </c>
      <c r="D94" s="111">
        <v>46042</v>
      </c>
      <c r="E94" s="123">
        <v>4359600</v>
      </c>
      <c r="F94" s="107">
        <v>0</v>
      </c>
      <c r="G94" s="107">
        <v>123600</v>
      </c>
      <c r="H94" s="107">
        <v>0</v>
      </c>
    </row>
    <row r="95" spans="1:8" ht="15">
      <c r="A95" s="107" t="s">
        <v>374</v>
      </c>
      <c r="B95" s="107" t="s">
        <v>375</v>
      </c>
      <c r="C95" s="111">
        <v>45726</v>
      </c>
      <c r="D95" s="111">
        <v>45852</v>
      </c>
      <c r="E95" s="123">
        <v>370800</v>
      </c>
      <c r="F95" s="107">
        <v>0</v>
      </c>
      <c r="G95" s="107">
        <v>61800</v>
      </c>
      <c r="H95" s="107">
        <v>0</v>
      </c>
    </row>
    <row r="96" spans="1:8" ht="15">
      <c r="A96" s="107" t="s">
        <v>376</v>
      </c>
      <c r="B96" s="107" t="s">
        <v>377</v>
      </c>
      <c r="C96" s="111">
        <v>45726</v>
      </c>
      <c r="D96" s="111">
        <v>45789</v>
      </c>
      <c r="E96" s="123">
        <v>185400</v>
      </c>
      <c r="F96" s="75">
        <v>0</v>
      </c>
      <c r="G96" s="75">
        <v>23400</v>
      </c>
      <c r="H96" s="75">
        <v>0</v>
      </c>
    </row>
    <row r="97" spans="1:8">
      <c r="A97" s="75" t="s">
        <v>378</v>
      </c>
      <c r="B97" s="75" t="s">
        <v>379</v>
      </c>
      <c r="C97" s="115">
        <v>45726</v>
      </c>
      <c r="D97" s="115">
        <v>45789</v>
      </c>
      <c r="E97" s="124">
        <v>70200</v>
      </c>
      <c r="F97" s="75">
        <v>0</v>
      </c>
      <c r="G97" s="75">
        <v>12800</v>
      </c>
      <c r="H97" s="75">
        <v>0</v>
      </c>
    </row>
    <row r="98" spans="1:8">
      <c r="A98" s="75" t="s">
        <v>380</v>
      </c>
      <c r="B98" s="75" t="s">
        <v>381</v>
      </c>
      <c r="C98" s="115">
        <v>45726</v>
      </c>
      <c r="D98" s="115">
        <v>45733</v>
      </c>
      <c r="E98" s="124">
        <v>38400</v>
      </c>
      <c r="F98" s="75">
        <v>0</v>
      </c>
      <c r="G98" s="75">
        <v>25600</v>
      </c>
      <c r="H98" s="75">
        <v>0</v>
      </c>
    </row>
    <row r="99" spans="1:8" ht="15">
      <c r="A99" s="75" t="s">
        <v>382</v>
      </c>
      <c r="B99" s="75" t="s">
        <v>383</v>
      </c>
      <c r="C99" s="115">
        <v>45733</v>
      </c>
      <c r="D99" s="115">
        <v>45747</v>
      </c>
      <c r="E99" s="124">
        <v>76800</v>
      </c>
      <c r="F99" s="107">
        <v>0</v>
      </c>
      <c r="G99" s="107">
        <v>61800</v>
      </c>
      <c r="H99" s="107">
        <v>0</v>
      </c>
    </row>
    <row r="100" spans="1:8" ht="15">
      <c r="A100" s="107" t="s">
        <v>384</v>
      </c>
      <c r="B100" s="107" t="s">
        <v>385</v>
      </c>
      <c r="C100" s="111">
        <v>45789</v>
      </c>
      <c r="D100" s="111">
        <v>45852</v>
      </c>
      <c r="E100" s="123">
        <v>185400</v>
      </c>
      <c r="F100" s="75">
        <v>0</v>
      </c>
      <c r="G100" s="75">
        <v>23400</v>
      </c>
      <c r="H100" s="75">
        <v>0</v>
      </c>
    </row>
    <row r="101" spans="1:8">
      <c r="A101" s="75" t="s">
        <v>386</v>
      </c>
      <c r="B101" s="75" t="s">
        <v>379</v>
      </c>
      <c r="C101" s="115">
        <v>45789</v>
      </c>
      <c r="D101" s="115">
        <v>45852</v>
      </c>
      <c r="E101" s="124">
        <v>70200</v>
      </c>
      <c r="F101" s="75">
        <v>0</v>
      </c>
      <c r="G101" s="75">
        <v>12800</v>
      </c>
      <c r="H101" s="75">
        <v>0</v>
      </c>
    </row>
    <row r="102" spans="1:8">
      <c r="A102" s="75" t="s">
        <v>387</v>
      </c>
      <c r="B102" s="75" t="s">
        <v>381</v>
      </c>
      <c r="C102" s="115">
        <v>45789</v>
      </c>
      <c r="D102" s="115">
        <v>45796</v>
      </c>
      <c r="E102" s="124">
        <v>38400</v>
      </c>
      <c r="F102" s="75">
        <v>0</v>
      </c>
      <c r="G102" s="75">
        <v>25600</v>
      </c>
      <c r="H102" s="75">
        <v>0</v>
      </c>
    </row>
    <row r="103" spans="1:8" ht="15">
      <c r="A103" s="75" t="s">
        <v>388</v>
      </c>
      <c r="B103" s="75" t="s">
        <v>383</v>
      </c>
      <c r="C103" s="115">
        <v>45796</v>
      </c>
      <c r="D103" s="115">
        <v>45810</v>
      </c>
      <c r="E103" s="124">
        <v>76800</v>
      </c>
      <c r="F103" s="107">
        <v>0</v>
      </c>
      <c r="G103" s="107">
        <v>123600</v>
      </c>
      <c r="H103" s="107">
        <v>0</v>
      </c>
    </row>
    <row r="104" spans="1:8" ht="15">
      <c r="A104" s="107" t="s">
        <v>389</v>
      </c>
      <c r="B104" s="107" t="s">
        <v>390</v>
      </c>
      <c r="C104" s="111">
        <v>45664</v>
      </c>
      <c r="D104" s="111">
        <v>45790</v>
      </c>
      <c r="E104" s="123">
        <v>370800</v>
      </c>
      <c r="F104" s="107">
        <v>0</v>
      </c>
      <c r="G104" s="107">
        <v>123600</v>
      </c>
      <c r="H104" s="107">
        <v>0</v>
      </c>
    </row>
    <row r="105" spans="1:8" ht="15">
      <c r="A105" s="107" t="s">
        <v>391</v>
      </c>
      <c r="B105" s="107" t="s">
        <v>392</v>
      </c>
      <c r="C105" s="111">
        <v>45664</v>
      </c>
      <c r="D105" s="111">
        <v>45790</v>
      </c>
      <c r="E105" s="123">
        <v>370800</v>
      </c>
      <c r="F105" s="75">
        <v>0</v>
      </c>
      <c r="G105" s="75">
        <v>46800</v>
      </c>
      <c r="H105" s="75">
        <v>0</v>
      </c>
    </row>
    <row r="106" spans="1:8">
      <c r="A106" s="75" t="s">
        <v>393</v>
      </c>
      <c r="B106" s="75" t="s">
        <v>379</v>
      </c>
      <c r="C106" s="115">
        <v>45664</v>
      </c>
      <c r="D106" s="115">
        <v>45790</v>
      </c>
      <c r="E106" s="124">
        <v>140400</v>
      </c>
      <c r="F106" s="75">
        <v>0</v>
      </c>
      <c r="G106" s="75">
        <v>25600</v>
      </c>
      <c r="H106" s="75">
        <v>0</v>
      </c>
    </row>
    <row r="107" spans="1:8">
      <c r="A107" s="75" t="s">
        <v>394</v>
      </c>
      <c r="B107" s="75" t="s">
        <v>381</v>
      </c>
      <c r="C107" s="115">
        <v>45664</v>
      </c>
      <c r="D107" s="115">
        <v>45678</v>
      </c>
      <c r="E107" s="124">
        <v>76800</v>
      </c>
      <c r="F107" s="75">
        <v>0</v>
      </c>
      <c r="G107" s="75">
        <v>51200</v>
      </c>
      <c r="H107" s="75">
        <v>0</v>
      </c>
    </row>
    <row r="108" spans="1:8" ht="15">
      <c r="A108" s="75" t="s">
        <v>395</v>
      </c>
      <c r="B108" s="75" t="s">
        <v>383</v>
      </c>
      <c r="C108" s="115">
        <v>45678</v>
      </c>
      <c r="D108" s="115">
        <v>45706</v>
      </c>
      <c r="E108" s="124">
        <v>153600</v>
      </c>
      <c r="F108" s="107">
        <v>0</v>
      </c>
      <c r="G108" s="107">
        <v>147000</v>
      </c>
      <c r="H108" s="107">
        <v>0</v>
      </c>
    </row>
    <row r="109" spans="1:8" ht="15">
      <c r="A109" s="107" t="s">
        <v>396</v>
      </c>
      <c r="B109" s="107" t="s">
        <v>397</v>
      </c>
      <c r="C109" s="111">
        <v>45790</v>
      </c>
      <c r="D109" s="111">
        <v>45853</v>
      </c>
      <c r="E109" s="123">
        <v>441000</v>
      </c>
      <c r="F109" s="107">
        <v>0</v>
      </c>
      <c r="G109" s="107">
        <v>73500</v>
      </c>
      <c r="H109" s="107">
        <v>0</v>
      </c>
    </row>
    <row r="110" spans="1:8" ht="15">
      <c r="A110" s="107" t="s">
        <v>398</v>
      </c>
      <c r="B110" s="107" t="s">
        <v>399</v>
      </c>
      <c r="C110" s="111">
        <v>45790</v>
      </c>
      <c r="D110" s="111">
        <v>45821</v>
      </c>
      <c r="E110" s="123">
        <v>220500</v>
      </c>
      <c r="F110" s="75">
        <v>0</v>
      </c>
      <c r="G110" s="75">
        <v>35100</v>
      </c>
      <c r="H110" s="75">
        <v>0</v>
      </c>
    </row>
    <row r="111" spans="1:8">
      <c r="A111" s="75" t="s">
        <v>400</v>
      </c>
      <c r="B111" s="75" t="s">
        <v>379</v>
      </c>
      <c r="C111" s="115">
        <v>45790</v>
      </c>
      <c r="D111" s="115">
        <v>45821</v>
      </c>
      <c r="E111" s="124">
        <v>105300</v>
      </c>
      <c r="F111" s="75">
        <v>0</v>
      </c>
      <c r="G111" s="75">
        <v>12800</v>
      </c>
      <c r="H111" s="75">
        <v>0</v>
      </c>
    </row>
    <row r="112" spans="1:8">
      <c r="A112" s="75" t="s">
        <v>401</v>
      </c>
      <c r="B112" s="75" t="s">
        <v>381</v>
      </c>
      <c r="C112" s="115">
        <v>45790</v>
      </c>
      <c r="D112" s="115">
        <v>45797</v>
      </c>
      <c r="E112" s="124">
        <v>38400</v>
      </c>
      <c r="F112" s="75">
        <v>0</v>
      </c>
      <c r="G112" s="75">
        <v>25600</v>
      </c>
      <c r="H112" s="75">
        <v>0</v>
      </c>
    </row>
    <row r="113" spans="1:8" ht="15">
      <c r="A113" s="75" t="s">
        <v>402</v>
      </c>
      <c r="B113" s="75" t="s">
        <v>383</v>
      </c>
      <c r="C113" s="115">
        <v>45797</v>
      </c>
      <c r="D113" s="115">
        <v>45811</v>
      </c>
      <c r="E113" s="124">
        <v>76800</v>
      </c>
      <c r="F113" s="107">
        <v>0</v>
      </c>
      <c r="G113" s="107">
        <v>73500</v>
      </c>
      <c r="H113" s="107">
        <v>0</v>
      </c>
    </row>
    <row r="114" spans="1:8" ht="15">
      <c r="A114" s="107" t="s">
        <v>403</v>
      </c>
      <c r="B114" s="107" t="s">
        <v>404</v>
      </c>
      <c r="C114" s="111">
        <v>45821</v>
      </c>
      <c r="D114" s="111">
        <v>45853</v>
      </c>
      <c r="E114" s="123">
        <v>220500</v>
      </c>
      <c r="F114" s="75">
        <v>0</v>
      </c>
      <c r="G114" s="75">
        <v>35100</v>
      </c>
      <c r="H114" s="75">
        <v>0</v>
      </c>
    </row>
    <row r="115" spans="1:8">
      <c r="A115" s="75" t="s">
        <v>405</v>
      </c>
      <c r="B115" s="75" t="s">
        <v>379</v>
      </c>
      <c r="C115" s="115">
        <v>45821</v>
      </c>
      <c r="D115" s="115">
        <v>45853</v>
      </c>
      <c r="E115" s="124">
        <v>105300</v>
      </c>
      <c r="F115" s="75">
        <v>0</v>
      </c>
      <c r="G115" s="75">
        <v>12800</v>
      </c>
      <c r="H115" s="75">
        <v>0</v>
      </c>
    </row>
    <row r="116" spans="1:8">
      <c r="A116" s="75" t="s">
        <v>406</v>
      </c>
      <c r="B116" s="75" t="s">
        <v>381</v>
      </c>
      <c r="C116" s="115">
        <v>45821</v>
      </c>
      <c r="D116" s="115">
        <v>45828</v>
      </c>
      <c r="E116" s="124">
        <v>38400</v>
      </c>
      <c r="F116" s="75">
        <v>0</v>
      </c>
      <c r="G116" s="75">
        <v>25600</v>
      </c>
      <c r="H116" s="75">
        <v>0</v>
      </c>
    </row>
    <row r="117" spans="1:8" ht="15">
      <c r="A117" s="75" t="s">
        <v>407</v>
      </c>
      <c r="B117" s="75" t="s">
        <v>383</v>
      </c>
      <c r="C117" s="115">
        <v>45828</v>
      </c>
      <c r="D117" s="115">
        <v>45842</v>
      </c>
      <c r="E117" s="124">
        <v>76800</v>
      </c>
      <c r="F117" s="107">
        <v>0</v>
      </c>
      <c r="G117" s="107">
        <v>123600</v>
      </c>
      <c r="H117" s="107">
        <v>0</v>
      </c>
    </row>
    <row r="118" spans="1:8" ht="15">
      <c r="A118" s="107" t="s">
        <v>408</v>
      </c>
      <c r="B118" s="107" t="s">
        <v>409</v>
      </c>
      <c r="C118" s="111">
        <v>45784</v>
      </c>
      <c r="D118" s="111">
        <v>45910</v>
      </c>
      <c r="E118" s="123">
        <v>370800</v>
      </c>
      <c r="F118" s="107">
        <v>0</v>
      </c>
      <c r="G118" s="107">
        <v>61800</v>
      </c>
      <c r="H118" s="107">
        <v>0</v>
      </c>
    </row>
    <row r="119" spans="1:8" ht="15">
      <c r="A119" s="107" t="s">
        <v>410</v>
      </c>
      <c r="B119" s="107" t="s">
        <v>411</v>
      </c>
      <c r="C119" s="111">
        <v>45784</v>
      </c>
      <c r="D119" s="111">
        <v>45847</v>
      </c>
      <c r="E119" s="123">
        <v>185400</v>
      </c>
      <c r="F119" s="75">
        <v>0</v>
      </c>
      <c r="G119" s="75">
        <v>23400</v>
      </c>
      <c r="H119" s="75">
        <v>0</v>
      </c>
    </row>
    <row r="120" spans="1:8">
      <c r="A120" s="75" t="s">
        <v>412</v>
      </c>
      <c r="B120" s="75" t="s">
        <v>379</v>
      </c>
      <c r="C120" s="115">
        <v>45784</v>
      </c>
      <c r="D120" s="115">
        <v>45847</v>
      </c>
      <c r="E120" s="124">
        <v>70200</v>
      </c>
      <c r="F120" s="75">
        <v>0</v>
      </c>
      <c r="G120" s="75">
        <v>12800</v>
      </c>
      <c r="H120" s="75">
        <v>0</v>
      </c>
    </row>
    <row r="121" spans="1:8">
      <c r="A121" s="75" t="s">
        <v>413</v>
      </c>
      <c r="B121" s="75" t="s">
        <v>381</v>
      </c>
      <c r="C121" s="115">
        <v>45784</v>
      </c>
      <c r="D121" s="115">
        <v>45791</v>
      </c>
      <c r="E121" s="124">
        <v>38400</v>
      </c>
      <c r="F121" s="75">
        <v>0</v>
      </c>
      <c r="G121" s="75">
        <v>25600</v>
      </c>
      <c r="H121" s="75">
        <v>0</v>
      </c>
    </row>
    <row r="122" spans="1:8" ht="15">
      <c r="A122" s="75" t="s">
        <v>414</v>
      </c>
      <c r="B122" s="75" t="s">
        <v>383</v>
      </c>
      <c r="C122" s="115">
        <v>45791</v>
      </c>
      <c r="D122" s="115">
        <v>45805</v>
      </c>
      <c r="E122" s="124">
        <v>76800</v>
      </c>
      <c r="F122" s="107">
        <v>0</v>
      </c>
      <c r="G122" s="107">
        <v>61800</v>
      </c>
      <c r="H122" s="107">
        <v>0</v>
      </c>
    </row>
    <row r="123" spans="1:8" ht="15">
      <c r="A123" s="107" t="s">
        <v>415</v>
      </c>
      <c r="B123" s="107" t="s">
        <v>416</v>
      </c>
      <c r="C123" s="111">
        <v>45847</v>
      </c>
      <c r="D123" s="111">
        <v>45910</v>
      </c>
      <c r="E123" s="123">
        <v>185400</v>
      </c>
      <c r="F123" s="75">
        <v>0</v>
      </c>
      <c r="G123" s="75">
        <v>23400</v>
      </c>
      <c r="H123" s="75">
        <v>0</v>
      </c>
    </row>
    <row r="124" spans="1:8">
      <c r="A124" s="75" t="s">
        <v>417</v>
      </c>
      <c r="B124" s="75" t="s">
        <v>379</v>
      </c>
      <c r="C124" s="115">
        <v>45847</v>
      </c>
      <c r="D124" s="115">
        <v>45910</v>
      </c>
      <c r="E124" s="124">
        <v>70200</v>
      </c>
      <c r="F124" s="75">
        <v>0</v>
      </c>
      <c r="G124" s="75">
        <v>12800</v>
      </c>
      <c r="H124" s="75">
        <v>0</v>
      </c>
    </row>
    <row r="125" spans="1:8">
      <c r="A125" s="75" t="s">
        <v>418</v>
      </c>
      <c r="B125" s="75" t="s">
        <v>381</v>
      </c>
      <c r="C125" s="115">
        <v>45847</v>
      </c>
      <c r="D125" s="115">
        <v>45854</v>
      </c>
      <c r="E125" s="124">
        <v>38400</v>
      </c>
      <c r="F125" s="75">
        <v>0</v>
      </c>
      <c r="G125" s="75">
        <v>25600</v>
      </c>
      <c r="H125" s="75">
        <v>0</v>
      </c>
    </row>
    <row r="126" spans="1:8" ht="15">
      <c r="A126" s="75" t="s">
        <v>419</v>
      </c>
      <c r="B126" s="75" t="s">
        <v>383</v>
      </c>
      <c r="C126" s="115">
        <v>45854</v>
      </c>
      <c r="D126" s="115">
        <v>45868</v>
      </c>
      <c r="E126" s="124">
        <v>76800</v>
      </c>
      <c r="F126" s="107">
        <v>0</v>
      </c>
      <c r="G126" s="107">
        <v>123600</v>
      </c>
      <c r="H126" s="107">
        <v>0</v>
      </c>
    </row>
    <row r="127" spans="1:8" ht="15">
      <c r="A127" s="107" t="s">
        <v>420</v>
      </c>
      <c r="B127" s="107" t="s">
        <v>421</v>
      </c>
      <c r="C127" s="111">
        <v>45852</v>
      </c>
      <c r="D127" s="111">
        <v>45978</v>
      </c>
      <c r="E127" s="123">
        <v>370800</v>
      </c>
      <c r="F127" s="107">
        <v>0</v>
      </c>
      <c r="G127" s="107">
        <v>41200</v>
      </c>
      <c r="H127" s="107">
        <v>0</v>
      </c>
    </row>
    <row r="128" spans="1:8" ht="15">
      <c r="A128" s="107" t="s">
        <v>422</v>
      </c>
      <c r="B128" s="107" t="s">
        <v>423</v>
      </c>
      <c r="C128" s="111">
        <v>45852</v>
      </c>
      <c r="D128" s="111">
        <v>45894</v>
      </c>
      <c r="E128" s="123">
        <v>123600</v>
      </c>
      <c r="F128" s="75">
        <v>0</v>
      </c>
      <c r="G128" s="75">
        <v>15600</v>
      </c>
      <c r="H128" s="75">
        <v>0</v>
      </c>
    </row>
    <row r="129" spans="1:8">
      <c r="A129" s="75" t="s">
        <v>424</v>
      </c>
      <c r="B129" s="75" t="s">
        <v>379</v>
      </c>
      <c r="C129" s="115">
        <v>45852</v>
      </c>
      <c r="D129" s="115">
        <v>45894</v>
      </c>
      <c r="E129" s="124">
        <v>46800</v>
      </c>
      <c r="F129" s="75">
        <v>0</v>
      </c>
      <c r="G129" s="75">
        <v>8524.7999999999993</v>
      </c>
      <c r="H129" s="75">
        <v>0</v>
      </c>
    </row>
    <row r="130" spans="1:8">
      <c r="A130" s="75" t="s">
        <v>425</v>
      </c>
      <c r="B130" s="75" t="s">
        <v>381</v>
      </c>
      <c r="C130" s="115">
        <v>45852</v>
      </c>
      <c r="D130" s="115">
        <v>45856</v>
      </c>
      <c r="E130" s="124">
        <v>25574.400000000001</v>
      </c>
      <c r="F130" s="75">
        <v>0</v>
      </c>
      <c r="G130" s="75">
        <v>17075.2</v>
      </c>
      <c r="H130" s="75">
        <v>0</v>
      </c>
    </row>
    <row r="131" spans="1:8" ht="15">
      <c r="A131" s="75" t="s">
        <v>426</v>
      </c>
      <c r="B131" s="75" t="s">
        <v>383</v>
      </c>
      <c r="C131" s="115">
        <v>45856</v>
      </c>
      <c r="D131" s="115">
        <v>45866</v>
      </c>
      <c r="E131" s="124">
        <v>51225.599999999999</v>
      </c>
      <c r="F131" s="107">
        <v>0</v>
      </c>
      <c r="G131" s="107">
        <v>41200</v>
      </c>
      <c r="H131" s="107">
        <v>0</v>
      </c>
    </row>
    <row r="132" spans="1:8" ht="15">
      <c r="A132" s="107" t="s">
        <v>427</v>
      </c>
      <c r="B132" s="107" t="s">
        <v>428</v>
      </c>
      <c r="C132" s="111">
        <v>45894</v>
      </c>
      <c r="D132" s="111">
        <v>45936</v>
      </c>
      <c r="E132" s="123">
        <v>123600</v>
      </c>
      <c r="F132" s="75">
        <v>0</v>
      </c>
      <c r="G132" s="75">
        <v>15600</v>
      </c>
      <c r="H132" s="75">
        <v>0</v>
      </c>
    </row>
    <row r="133" spans="1:8">
      <c r="A133" s="75" t="s">
        <v>429</v>
      </c>
      <c r="B133" s="75" t="s">
        <v>379</v>
      </c>
      <c r="C133" s="115">
        <v>45894</v>
      </c>
      <c r="D133" s="115">
        <v>45936</v>
      </c>
      <c r="E133" s="124">
        <v>46800</v>
      </c>
      <c r="F133" s="75">
        <v>0</v>
      </c>
      <c r="G133" s="75">
        <v>8524.7999999999993</v>
      </c>
      <c r="H133" s="75">
        <v>0</v>
      </c>
    </row>
    <row r="134" spans="1:8">
      <c r="A134" s="75" t="s">
        <v>430</v>
      </c>
      <c r="B134" s="75" t="s">
        <v>381</v>
      </c>
      <c r="C134" s="115">
        <v>45894</v>
      </c>
      <c r="D134" s="115">
        <v>45898</v>
      </c>
      <c r="E134" s="124">
        <v>25574.400000000001</v>
      </c>
      <c r="F134" s="75">
        <v>0</v>
      </c>
      <c r="G134" s="75">
        <v>17075.2</v>
      </c>
      <c r="H134" s="75">
        <v>0</v>
      </c>
    </row>
    <row r="135" spans="1:8" ht="15">
      <c r="A135" s="75" t="s">
        <v>431</v>
      </c>
      <c r="B135" s="75" t="s">
        <v>383</v>
      </c>
      <c r="C135" s="115">
        <v>45898</v>
      </c>
      <c r="D135" s="115">
        <v>45908</v>
      </c>
      <c r="E135" s="124">
        <v>51225.599999999999</v>
      </c>
      <c r="F135" s="107">
        <v>0</v>
      </c>
      <c r="G135" s="107">
        <v>41200</v>
      </c>
      <c r="H135" s="107">
        <v>0</v>
      </c>
    </row>
    <row r="136" spans="1:8" ht="15">
      <c r="A136" s="107" t="s">
        <v>432</v>
      </c>
      <c r="B136" s="107" t="s">
        <v>433</v>
      </c>
      <c r="C136" s="111">
        <v>45936</v>
      </c>
      <c r="D136" s="111">
        <v>45978</v>
      </c>
      <c r="E136" s="123">
        <v>123600</v>
      </c>
      <c r="F136" s="75">
        <v>0</v>
      </c>
      <c r="G136" s="75">
        <v>15600</v>
      </c>
      <c r="H136" s="75">
        <v>0</v>
      </c>
    </row>
    <row r="137" spans="1:8">
      <c r="A137" s="75" t="s">
        <v>434</v>
      </c>
      <c r="B137" s="75" t="s">
        <v>379</v>
      </c>
      <c r="C137" s="115">
        <v>45936</v>
      </c>
      <c r="D137" s="115">
        <v>45978</v>
      </c>
      <c r="E137" s="124">
        <v>46800</v>
      </c>
      <c r="F137" s="75">
        <v>0</v>
      </c>
      <c r="G137" s="75">
        <v>8524.7999999999993</v>
      </c>
      <c r="H137" s="75">
        <v>0</v>
      </c>
    </row>
    <row r="138" spans="1:8">
      <c r="A138" s="75" t="s">
        <v>435</v>
      </c>
      <c r="B138" s="75" t="s">
        <v>381</v>
      </c>
      <c r="C138" s="115">
        <v>45936</v>
      </c>
      <c r="D138" s="115">
        <v>45940</v>
      </c>
      <c r="E138" s="124">
        <v>25574.400000000001</v>
      </c>
      <c r="F138" s="75">
        <v>0</v>
      </c>
      <c r="G138" s="75">
        <v>17075.2</v>
      </c>
      <c r="H138" s="75">
        <v>0</v>
      </c>
    </row>
    <row r="139" spans="1:8" ht="15">
      <c r="A139" s="75" t="s">
        <v>436</v>
      </c>
      <c r="B139" s="75" t="s">
        <v>383</v>
      </c>
      <c r="C139" s="115">
        <v>45940</v>
      </c>
      <c r="D139" s="115">
        <v>45950</v>
      </c>
      <c r="E139" s="124">
        <v>51225.599999999999</v>
      </c>
      <c r="F139" s="107">
        <v>0</v>
      </c>
      <c r="G139" s="107">
        <v>123600</v>
      </c>
      <c r="H139" s="107">
        <v>0</v>
      </c>
    </row>
    <row r="140" spans="1:8" ht="15">
      <c r="A140" s="107" t="s">
        <v>437</v>
      </c>
      <c r="B140" s="107" t="s">
        <v>438</v>
      </c>
      <c r="C140" s="111">
        <v>45658</v>
      </c>
      <c r="D140" s="111">
        <v>45784</v>
      </c>
      <c r="E140" s="123">
        <v>370800</v>
      </c>
      <c r="F140" s="107">
        <v>0</v>
      </c>
      <c r="G140" s="107">
        <v>123600</v>
      </c>
      <c r="H140" s="107">
        <v>0</v>
      </c>
    </row>
    <row r="141" spans="1:8" ht="15">
      <c r="A141" s="107" t="s">
        <v>439</v>
      </c>
      <c r="B141" s="107" t="s">
        <v>440</v>
      </c>
      <c r="C141" s="111">
        <v>45658</v>
      </c>
      <c r="D141" s="111">
        <v>45784</v>
      </c>
      <c r="E141" s="123">
        <v>370800</v>
      </c>
      <c r="F141" s="75">
        <v>0</v>
      </c>
      <c r="G141" s="75">
        <v>46800</v>
      </c>
      <c r="H141" s="75">
        <v>0</v>
      </c>
    </row>
    <row r="142" spans="1:8">
      <c r="A142" s="75" t="s">
        <v>441</v>
      </c>
      <c r="B142" s="75" t="s">
        <v>379</v>
      </c>
      <c r="C142" s="115">
        <v>45658</v>
      </c>
      <c r="D142" s="115">
        <v>45784</v>
      </c>
      <c r="E142" s="124">
        <v>140400</v>
      </c>
      <c r="F142" s="75">
        <v>0</v>
      </c>
      <c r="G142" s="75">
        <v>25600</v>
      </c>
      <c r="H142" s="75">
        <v>0</v>
      </c>
    </row>
    <row r="143" spans="1:8">
      <c r="A143" s="75" t="s">
        <v>442</v>
      </c>
      <c r="B143" s="75" t="s">
        <v>381</v>
      </c>
      <c r="C143" s="115">
        <v>45658</v>
      </c>
      <c r="D143" s="115">
        <v>45672</v>
      </c>
      <c r="E143" s="124">
        <v>76800</v>
      </c>
      <c r="F143" s="75">
        <v>0</v>
      </c>
      <c r="G143" s="75">
        <v>51200</v>
      </c>
      <c r="H143" s="75">
        <v>0</v>
      </c>
    </row>
    <row r="144" spans="1:8" ht="15">
      <c r="A144" s="75" t="s">
        <v>443</v>
      </c>
      <c r="B144" s="75" t="s">
        <v>383</v>
      </c>
      <c r="C144" s="115">
        <v>45672</v>
      </c>
      <c r="D144" s="115">
        <v>45700</v>
      </c>
      <c r="E144" s="124">
        <v>153600</v>
      </c>
      <c r="F144" s="107">
        <v>0</v>
      </c>
      <c r="G144" s="107">
        <v>147000</v>
      </c>
      <c r="H144" s="107">
        <v>0</v>
      </c>
    </row>
    <row r="145" spans="1:8" ht="15">
      <c r="A145" s="107" t="s">
        <v>444</v>
      </c>
      <c r="B145" s="107" t="s">
        <v>445</v>
      </c>
      <c r="C145" s="111">
        <v>45658</v>
      </c>
      <c r="D145" s="111">
        <v>45721</v>
      </c>
      <c r="E145" s="123">
        <v>441000</v>
      </c>
      <c r="F145" s="107">
        <v>0</v>
      </c>
      <c r="G145" s="107">
        <v>147000</v>
      </c>
      <c r="H145" s="107">
        <v>0</v>
      </c>
    </row>
    <row r="146" spans="1:8" ht="15">
      <c r="A146" s="107" t="s">
        <v>446</v>
      </c>
      <c r="B146" s="107" t="s">
        <v>447</v>
      </c>
      <c r="C146" s="111">
        <v>45658</v>
      </c>
      <c r="D146" s="111">
        <v>45721</v>
      </c>
      <c r="E146" s="123">
        <v>441000</v>
      </c>
      <c r="F146" s="75">
        <v>0</v>
      </c>
      <c r="G146" s="75">
        <v>70200</v>
      </c>
      <c r="H146" s="75">
        <v>0</v>
      </c>
    </row>
    <row r="147" spans="1:8">
      <c r="A147" s="75" t="s">
        <v>448</v>
      </c>
      <c r="B147" s="75" t="s">
        <v>379</v>
      </c>
      <c r="C147" s="115">
        <v>45658</v>
      </c>
      <c r="D147" s="115">
        <v>45721</v>
      </c>
      <c r="E147" s="124">
        <v>210600</v>
      </c>
      <c r="F147" s="75">
        <v>0</v>
      </c>
      <c r="G147" s="75">
        <v>25600</v>
      </c>
      <c r="H147" s="75">
        <v>0</v>
      </c>
    </row>
    <row r="148" spans="1:8">
      <c r="A148" s="75" t="s">
        <v>449</v>
      </c>
      <c r="B148" s="75" t="s">
        <v>381</v>
      </c>
      <c r="C148" s="115">
        <v>45658</v>
      </c>
      <c r="D148" s="115">
        <v>45672</v>
      </c>
      <c r="E148" s="124">
        <v>76800</v>
      </c>
      <c r="F148" s="75">
        <v>0</v>
      </c>
      <c r="G148" s="75">
        <v>51200</v>
      </c>
      <c r="H148" s="75">
        <v>0</v>
      </c>
    </row>
    <row r="149" spans="1:8" ht="15">
      <c r="A149" s="75" t="s">
        <v>450</v>
      </c>
      <c r="B149" s="75" t="s">
        <v>383</v>
      </c>
      <c r="C149" s="115">
        <v>45672</v>
      </c>
      <c r="D149" s="115">
        <v>45700</v>
      </c>
      <c r="E149" s="124">
        <v>153600</v>
      </c>
      <c r="F149" s="107">
        <v>0</v>
      </c>
      <c r="G149" s="107">
        <v>147000</v>
      </c>
      <c r="H149" s="107">
        <v>0</v>
      </c>
    </row>
    <row r="150" spans="1:8" ht="15">
      <c r="A150" s="107" t="s">
        <v>451</v>
      </c>
      <c r="B150" s="107" t="s">
        <v>452</v>
      </c>
      <c r="C150" s="111">
        <v>45853</v>
      </c>
      <c r="D150" s="111">
        <v>45916</v>
      </c>
      <c r="E150" s="123">
        <v>441000</v>
      </c>
      <c r="F150" s="107">
        <v>0</v>
      </c>
      <c r="G150" s="107">
        <v>147000</v>
      </c>
      <c r="H150" s="107">
        <v>0</v>
      </c>
    </row>
    <row r="151" spans="1:8" ht="15">
      <c r="A151" s="107" t="s">
        <v>453</v>
      </c>
      <c r="B151" s="107" t="s">
        <v>454</v>
      </c>
      <c r="C151" s="111">
        <v>45853</v>
      </c>
      <c r="D151" s="111">
        <v>45884</v>
      </c>
      <c r="E151" s="123">
        <v>220500</v>
      </c>
      <c r="F151" s="75">
        <v>0</v>
      </c>
      <c r="G151" s="75">
        <v>35100</v>
      </c>
      <c r="H151" s="75">
        <v>0</v>
      </c>
    </row>
    <row r="152" spans="1:8">
      <c r="A152" s="75" t="s">
        <v>455</v>
      </c>
      <c r="B152" s="75" t="s">
        <v>379</v>
      </c>
      <c r="C152" s="115">
        <v>45853</v>
      </c>
      <c r="D152" s="115">
        <v>45884</v>
      </c>
      <c r="E152" s="124">
        <v>105300</v>
      </c>
      <c r="F152" s="75">
        <v>0</v>
      </c>
      <c r="G152" s="75">
        <v>12800</v>
      </c>
      <c r="H152" s="75">
        <v>0</v>
      </c>
    </row>
    <row r="153" spans="1:8">
      <c r="A153" s="75" t="s">
        <v>456</v>
      </c>
      <c r="B153" s="75" t="s">
        <v>381</v>
      </c>
      <c r="C153" s="115">
        <v>45853</v>
      </c>
      <c r="D153" s="115">
        <v>45860</v>
      </c>
      <c r="E153" s="124">
        <v>38400</v>
      </c>
      <c r="F153" s="75">
        <v>0</v>
      </c>
      <c r="G153" s="75">
        <v>25600</v>
      </c>
      <c r="H153" s="75">
        <v>0</v>
      </c>
    </row>
    <row r="154" spans="1:8" ht="15">
      <c r="A154" s="75" t="s">
        <v>457</v>
      </c>
      <c r="B154" s="75" t="s">
        <v>383</v>
      </c>
      <c r="C154" s="115">
        <v>45860</v>
      </c>
      <c r="D154" s="115">
        <v>45874</v>
      </c>
      <c r="E154" s="124">
        <v>76800</v>
      </c>
      <c r="F154" s="107">
        <v>0</v>
      </c>
      <c r="G154" s="107">
        <v>73500</v>
      </c>
      <c r="H154" s="107">
        <v>0</v>
      </c>
    </row>
    <row r="155" spans="1:8" ht="15">
      <c r="A155" s="107" t="s">
        <v>458</v>
      </c>
      <c r="B155" s="107" t="s">
        <v>459</v>
      </c>
      <c r="C155" s="111">
        <v>45884</v>
      </c>
      <c r="D155" s="111">
        <v>45916</v>
      </c>
      <c r="E155" s="123">
        <v>220500</v>
      </c>
      <c r="F155" s="75">
        <v>0</v>
      </c>
      <c r="G155" s="75">
        <v>35100</v>
      </c>
      <c r="H155" s="75">
        <v>0</v>
      </c>
    </row>
    <row r="156" spans="1:8">
      <c r="A156" s="75" t="s">
        <v>460</v>
      </c>
      <c r="B156" s="75" t="s">
        <v>461</v>
      </c>
      <c r="C156" s="115">
        <v>45884</v>
      </c>
      <c r="D156" s="115">
        <v>45916</v>
      </c>
      <c r="E156" s="124">
        <v>105300</v>
      </c>
      <c r="F156" s="75">
        <v>0</v>
      </c>
      <c r="G156" s="75">
        <v>12800</v>
      </c>
      <c r="H156" s="75">
        <v>0</v>
      </c>
    </row>
    <row r="157" spans="1:8">
      <c r="A157" s="75" t="s">
        <v>462</v>
      </c>
      <c r="B157" s="75" t="s">
        <v>463</v>
      </c>
      <c r="C157" s="115">
        <v>45884</v>
      </c>
      <c r="D157" s="115">
        <v>45891</v>
      </c>
      <c r="E157" s="124">
        <v>38400</v>
      </c>
      <c r="F157" s="75">
        <v>0</v>
      </c>
      <c r="G157" s="75">
        <v>25600</v>
      </c>
      <c r="H157" s="75">
        <v>0</v>
      </c>
    </row>
    <row r="158" spans="1:8" ht="15">
      <c r="A158" s="75" t="s">
        <v>464</v>
      </c>
      <c r="B158" s="75" t="s">
        <v>465</v>
      </c>
      <c r="C158" s="115">
        <v>45891</v>
      </c>
      <c r="D158" s="115">
        <v>45905</v>
      </c>
      <c r="E158" s="124">
        <v>76800</v>
      </c>
      <c r="F158" s="107">
        <v>0</v>
      </c>
      <c r="G158" s="107">
        <v>123600</v>
      </c>
      <c r="H158" s="107">
        <v>0</v>
      </c>
    </row>
    <row r="159" spans="1:8" ht="15">
      <c r="A159" s="107" t="s">
        <v>466</v>
      </c>
      <c r="B159" s="107" t="s">
        <v>467</v>
      </c>
      <c r="C159" s="111">
        <v>45910</v>
      </c>
      <c r="D159" s="111">
        <v>46036</v>
      </c>
      <c r="E159" s="123">
        <v>370800</v>
      </c>
      <c r="F159" s="107">
        <v>0</v>
      </c>
      <c r="G159" s="107">
        <v>123600</v>
      </c>
      <c r="H159" s="107">
        <v>0</v>
      </c>
    </row>
    <row r="160" spans="1:8" ht="15">
      <c r="A160" s="107" t="s">
        <v>468</v>
      </c>
      <c r="B160" s="107" t="s">
        <v>469</v>
      </c>
      <c r="C160" s="111">
        <v>45910</v>
      </c>
      <c r="D160" s="111">
        <v>45952</v>
      </c>
      <c r="E160" s="123">
        <v>123600</v>
      </c>
      <c r="F160" s="75">
        <v>0</v>
      </c>
      <c r="G160" s="75">
        <v>15600</v>
      </c>
      <c r="H160" s="75">
        <v>0</v>
      </c>
    </row>
    <row r="161" spans="1:8">
      <c r="A161" s="75" t="s">
        <v>470</v>
      </c>
      <c r="B161" s="75" t="s">
        <v>379</v>
      </c>
      <c r="C161" s="115">
        <v>45910</v>
      </c>
      <c r="D161" s="115">
        <v>45952</v>
      </c>
      <c r="E161" s="124">
        <v>46800</v>
      </c>
      <c r="F161" s="75">
        <v>0</v>
      </c>
      <c r="G161" s="75">
        <v>8524.7999999999993</v>
      </c>
      <c r="H161" s="75">
        <v>0</v>
      </c>
    </row>
    <row r="162" spans="1:8">
      <c r="A162" s="75" t="s">
        <v>471</v>
      </c>
      <c r="B162" s="75" t="s">
        <v>381</v>
      </c>
      <c r="C162" s="115">
        <v>45910</v>
      </c>
      <c r="D162" s="115">
        <v>45915</v>
      </c>
      <c r="E162" s="124">
        <v>25574.400000000001</v>
      </c>
      <c r="F162" s="75">
        <v>0</v>
      </c>
      <c r="G162" s="75">
        <v>17075.2</v>
      </c>
      <c r="H162" s="75">
        <v>0</v>
      </c>
    </row>
    <row r="163" spans="1:8" ht="15">
      <c r="A163" s="75" t="s">
        <v>472</v>
      </c>
      <c r="B163" s="75" t="s">
        <v>383</v>
      </c>
      <c r="C163" s="115">
        <v>45915</v>
      </c>
      <c r="D163" s="115">
        <v>45924</v>
      </c>
      <c r="E163" s="124">
        <v>51225.599999999999</v>
      </c>
      <c r="F163" s="107">
        <v>0</v>
      </c>
      <c r="G163" s="107">
        <v>41200</v>
      </c>
      <c r="H163" s="107">
        <v>0</v>
      </c>
    </row>
    <row r="164" spans="1:8" ht="15">
      <c r="A164" s="107" t="s">
        <v>473</v>
      </c>
      <c r="B164" s="107" t="s">
        <v>474</v>
      </c>
      <c r="C164" s="111">
        <v>45952</v>
      </c>
      <c r="D164" s="111">
        <v>45994</v>
      </c>
      <c r="E164" s="123">
        <v>123600</v>
      </c>
      <c r="F164" s="75">
        <v>0</v>
      </c>
      <c r="G164" s="75">
        <v>15600</v>
      </c>
      <c r="H164" s="75">
        <v>0</v>
      </c>
    </row>
    <row r="165" spans="1:8">
      <c r="A165" s="75" t="s">
        <v>475</v>
      </c>
      <c r="B165" s="75" t="s">
        <v>461</v>
      </c>
      <c r="C165" s="115">
        <v>45952</v>
      </c>
      <c r="D165" s="115">
        <v>45994</v>
      </c>
      <c r="E165" s="124">
        <v>46800</v>
      </c>
      <c r="F165" s="75">
        <v>0</v>
      </c>
      <c r="G165" s="75">
        <v>8524.7999999999993</v>
      </c>
      <c r="H165" s="75">
        <v>0</v>
      </c>
    </row>
    <row r="166" spans="1:8">
      <c r="A166" s="75" t="s">
        <v>476</v>
      </c>
      <c r="B166" s="75" t="s">
        <v>463</v>
      </c>
      <c r="C166" s="115">
        <v>45952</v>
      </c>
      <c r="D166" s="115">
        <v>45957</v>
      </c>
      <c r="E166" s="124">
        <v>25574.400000000001</v>
      </c>
      <c r="F166" s="75">
        <v>0</v>
      </c>
      <c r="G166" s="75">
        <v>17075.2</v>
      </c>
      <c r="H166" s="75">
        <v>0</v>
      </c>
    </row>
    <row r="167" spans="1:8" ht="15">
      <c r="A167" s="75" t="s">
        <v>477</v>
      </c>
      <c r="B167" s="75" t="s">
        <v>465</v>
      </c>
      <c r="C167" s="115">
        <v>45957</v>
      </c>
      <c r="D167" s="115">
        <v>45966</v>
      </c>
      <c r="E167" s="124">
        <v>51225.599999999999</v>
      </c>
      <c r="F167" s="107">
        <v>0</v>
      </c>
      <c r="G167" s="107">
        <v>41200</v>
      </c>
      <c r="H167" s="107">
        <v>0</v>
      </c>
    </row>
    <row r="168" spans="1:8" ht="15">
      <c r="A168" s="107" t="s">
        <v>478</v>
      </c>
      <c r="B168" s="107" t="s">
        <v>479</v>
      </c>
      <c r="C168" s="111">
        <v>45994</v>
      </c>
      <c r="D168" s="111">
        <v>46036</v>
      </c>
      <c r="E168" s="123">
        <v>123600</v>
      </c>
      <c r="F168" s="75">
        <v>0</v>
      </c>
      <c r="G168" s="75">
        <v>15600</v>
      </c>
      <c r="H168" s="75">
        <v>0</v>
      </c>
    </row>
    <row r="169" spans="1:8">
      <c r="A169" s="75" t="s">
        <v>480</v>
      </c>
      <c r="B169" s="75" t="s">
        <v>461</v>
      </c>
      <c r="C169" s="115">
        <v>45994</v>
      </c>
      <c r="D169" s="115">
        <v>46036</v>
      </c>
      <c r="E169" s="124">
        <v>46800</v>
      </c>
      <c r="F169" s="75">
        <v>0</v>
      </c>
      <c r="G169" s="75">
        <v>8524.7999999999993</v>
      </c>
      <c r="H169" s="75">
        <v>0</v>
      </c>
    </row>
    <row r="170" spans="1:8">
      <c r="A170" s="75" t="s">
        <v>481</v>
      </c>
      <c r="B170" s="75" t="s">
        <v>463</v>
      </c>
      <c r="C170" s="115">
        <v>45994</v>
      </c>
      <c r="D170" s="115">
        <v>45999</v>
      </c>
      <c r="E170" s="124">
        <v>25574.400000000001</v>
      </c>
      <c r="F170" s="75">
        <v>0</v>
      </c>
      <c r="G170" s="75">
        <v>17075.2</v>
      </c>
      <c r="H170" s="75">
        <v>0</v>
      </c>
    </row>
    <row r="171" spans="1:8" ht="15">
      <c r="A171" s="75" t="s">
        <v>482</v>
      </c>
      <c r="B171" s="75" t="s">
        <v>465</v>
      </c>
      <c r="C171" s="115">
        <v>45999</v>
      </c>
      <c r="D171" s="115">
        <v>46008</v>
      </c>
      <c r="E171" s="124">
        <v>51225.599999999999</v>
      </c>
      <c r="F171" s="107">
        <v>0</v>
      </c>
      <c r="G171" s="107">
        <v>147000</v>
      </c>
      <c r="H171" s="107">
        <v>0</v>
      </c>
    </row>
    <row r="172" spans="1:8" ht="15">
      <c r="A172" s="107" t="s">
        <v>483</v>
      </c>
      <c r="B172" s="107" t="s">
        <v>484</v>
      </c>
      <c r="C172" s="111">
        <v>45978</v>
      </c>
      <c r="D172" s="111">
        <v>46041</v>
      </c>
      <c r="E172" s="123">
        <v>441000</v>
      </c>
      <c r="F172" s="107">
        <v>0</v>
      </c>
      <c r="G172" s="107">
        <v>147000</v>
      </c>
      <c r="H172" s="107">
        <v>0</v>
      </c>
    </row>
    <row r="173" spans="1:8" ht="15">
      <c r="A173" s="107" t="s">
        <v>485</v>
      </c>
      <c r="B173" s="107" t="s">
        <v>486</v>
      </c>
      <c r="C173" s="111">
        <v>45978</v>
      </c>
      <c r="D173" s="111">
        <v>46041</v>
      </c>
      <c r="E173" s="123">
        <v>441000</v>
      </c>
      <c r="F173" s="75">
        <v>0</v>
      </c>
      <c r="G173" s="75">
        <v>70200</v>
      </c>
      <c r="H173" s="75">
        <v>0</v>
      </c>
    </row>
    <row r="174" spans="1:8">
      <c r="A174" s="75" t="s">
        <v>487</v>
      </c>
      <c r="B174" s="75" t="s">
        <v>379</v>
      </c>
      <c r="C174" s="115">
        <v>45978</v>
      </c>
      <c r="D174" s="115">
        <v>46041</v>
      </c>
      <c r="E174" s="124">
        <v>210600</v>
      </c>
      <c r="F174" s="75">
        <v>0</v>
      </c>
      <c r="G174" s="75">
        <v>25600</v>
      </c>
      <c r="H174" s="75">
        <v>0</v>
      </c>
    </row>
    <row r="175" spans="1:8">
      <c r="A175" s="75" t="s">
        <v>488</v>
      </c>
      <c r="B175" s="75" t="s">
        <v>381</v>
      </c>
      <c r="C175" s="115">
        <v>45978</v>
      </c>
      <c r="D175" s="115">
        <v>45992</v>
      </c>
      <c r="E175" s="124">
        <v>76800</v>
      </c>
      <c r="F175" s="75">
        <v>0</v>
      </c>
      <c r="G175" s="75">
        <v>51200</v>
      </c>
      <c r="H175" s="75">
        <v>0</v>
      </c>
    </row>
    <row r="176" spans="1:8" ht="15">
      <c r="A176" s="75" t="s">
        <v>489</v>
      </c>
      <c r="B176" s="75" t="s">
        <v>383</v>
      </c>
      <c r="C176" s="115">
        <v>45992</v>
      </c>
      <c r="D176" s="115">
        <v>46020</v>
      </c>
      <c r="E176" s="124">
        <v>153600</v>
      </c>
      <c r="F176" s="107">
        <v>0</v>
      </c>
      <c r="G176" s="107">
        <v>123600</v>
      </c>
      <c r="H176" s="107">
        <v>0</v>
      </c>
    </row>
    <row r="177" spans="1:8" ht="15">
      <c r="A177" s="107" t="s">
        <v>490</v>
      </c>
      <c r="B177" s="107" t="s">
        <v>491</v>
      </c>
      <c r="C177" s="111">
        <v>45916</v>
      </c>
      <c r="D177" s="111">
        <v>46042</v>
      </c>
      <c r="E177" s="123">
        <v>370800</v>
      </c>
      <c r="F177" s="107">
        <v>0</v>
      </c>
      <c r="G177" s="107">
        <v>123600</v>
      </c>
      <c r="H177" s="107">
        <v>0</v>
      </c>
    </row>
    <row r="178" spans="1:8" ht="15">
      <c r="A178" s="107" t="s">
        <v>492</v>
      </c>
      <c r="B178" s="107" t="s">
        <v>493</v>
      </c>
      <c r="C178" s="111">
        <v>45916</v>
      </c>
      <c r="D178" s="111">
        <v>46042</v>
      </c>
      <c r="E178" s="123">
        <v>370800</v>
      </c>
      <c r="F178" s="75">
        <v>0</v>
      </c>
      <c r="G178" s="75">
        <v>46800</v>
      </c>
      <c r="H178" s="75">
        <v>0</v>
      </c>
    </row>
    <row r="179" spans="1:8">
      <c r="A179" s="75" t="s">
        <v>494</v>
      </c>
      <c r="B179" s="75" t="s">
        <v>379</v>
      </c>
      <c r="C179" s="115">
        <v>45916</v>
      </c>
      <c r="D179" s="115">
        <v>46042</v>
      </c>
      <c r="E179" s="124">
        <v>140400</v>
      </c>
      <c r="F179" s="75">
        <v>0</v>
      </c>
      <c r="G179" s="75">
        <v>25600</v>
      </c>
      <c r="H179" s="75">
        <v>0</v>
      </c>
    </row>
    <row r="180" spans="1:8">
      <c r="A180" s="75" t="s">
        <v>495</v>
      </c>
      <c r="B180" s="75" t="s">
        <v>381</v>
      </c>
      <c r="C180" s="115">
        <v>45916</v>
      </c>
      <c r="D180" s="115">
        <v>45930</v>
      </c>
      <c r="E180" s="124">
        <v>76800</v>
      </c>
      <c r="F180" s="75">
        <v>0</v>
      </c>
      <c r="G180" s="75">
        <v>51200</v>
      </c>
      <c r="H180" s="75">
        <v>0</v>
      </c>
    </row>
    <row r="181" spans="1:8" ht="15">
      <c r="A181" s="75" t="s">
        <v>496</v>
      </c>
      <c r="B181" s="75" t="s">
        <v>383</v>
      </c>
      <c r="C181" s="115">
        <v>45930</v>
      </c>
      <c r="D181" s="115">
        <v>45958</v>
      </c>
      <c r="E181" s="124">
        <v>153600</v>
      </c>
      <c r="F181" s="107">
        <v>0</v>
      </c>
      <c r="G181" s="107">
        <v>147200</v>
      </c>
      <c r="H181" s="107">
        <v>0</v>
      </c>
    </row>
    <row r="182" spans="1:8" ht="15">
      <c r="A182" s="107" t="s">
        <v>497</v>
      </c>
      <c r="B182" s="107" t="s">
        <v>498</v>
      </c>
      <c r="C182" s="110">
        <v>46042</v>
      </c>
      <c r="D182" s="108">
        <v>46069</v>
      </c>
      <c r="E182" s="109">
        <v>73600</v>
      </c>
      <c r="F182" s="75">
        <v>0</v>
      </c>
      <c r="G182" s="75">
        <v>147200</v>
      </c>
      <c r="H182" s="75">
        <v>0</v>
      </c>
    </row>
    <row r="183" spans="1:8">
      <c r="A183" s="75" t="s">
        <v>499</v>
      </c>
      <c r="B183" s="75" t="s">
        <v>500</v>
      </c>
      <c r="C183" s="118">
        <v>46042</v>
      </c>
      <c r="D183" s="118">
        <v>46070</v>
      </c>
      <c r="E183" s="116">
        <v>73600</v>
      </c>
    </row>
  </sheetData>
  <autoFilter ref="A1:D183" xr:uid="{92ACB5B0-63CC-44B1-BC87-08F7E9D7D04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EFBF7-F33C-446E-BA1F-FAB4DDC99BF5}">
  <dimension ref="A2:AF65"/>
  <sheetViews>
    <sheetView zoomScale="80" zoomScaleNormal="80" workbookViewId="0">
      <selection activeCell="J30" sqref="J30"/>
    </sheetView>
  </sheetViews>
  <sheetFormatPr defaultRowHeight="14.45"/>
  <cols>
    <col min="1" max="1" width="33" customWidth="1"/>
    <col min="2" max="3" width="8.85546875" hidden="1" customWidth="1"/>
    <col min="4" max="4" width="8.5703125" bestFit="1" customWidth="1"/>
    <col min="5" max="10" width="8.85546875" bestFit="1" customWidth="1"/>
    <col min="11" max="11" width="9.5703125" bestFit="1" customWidth="1"/>
    <col min="12" max="21" width="8.85546875" bestFit="1" customWidth="1"/>
  </cols>
  <sheetData>
    <row r="2" spans="1:30">
      <c r="A2" s="5" t="s">
        <v>0</v>
      </c>
      <c r="B2" s="6">
        <v>45231</v>
      </c>
      <c r="C2" s="6">
        <v>45261</v>
      </c>
      <c r="D2" s="6">
        <v>45292</v>
      </c>
      <c r="E2" s="6">
        <v>45323</v>
      </c>
      <c r="F2" s="6">
        <v>45352</v>
      </c>
      <c r="G2" s="6">
        <v>45383</v>
      </c>
      <c r="H2" s="6">
        <v>45413</v>
      </c>
      <c r="I2" s="6">
        <v>45444</v>
      </c>
      <c r="J2" s="6">
        <v>45474</v>
      </c>
      <c r="K2" s="6">
        <v>45505</v>
      </c>
      <c r="L2" s="6">
        <v>45536</v>
      </c>
      <c r="M2" s="6">
        <v>45566</v>
      </c>
      <c r="N2" s="6">
        <v>45597</v>
      </c>
      <c r="O2" s="6">
        <v>45627</v>
      </c>
      <c r="P2" s="6">
        <v>45658</v>
      </c>
      <c r="Q2" s="6">
        <v>45689</v>
      </c>
      <c r="R2" s="6">
        <v>45717</v>
      </c>
      <c r="S2" s="6">
        <v>45748</v>
      </c>
      <c r="T2" s="6">
        <v>45778</v>
      </c>
      <c r="U2" s="6">
        <v>45809</v>
      </c>
      <c r="V2" s="6">
        <v>45839</v>
      </c>
      <c r="W2" s="6">
        <v>45870</v>
      </c>
      <c r="X2" s="6">
        <v>45901</v>
      </c>
      <c r="Y2" s="6">
        <v>45931</v>
      </c>
      <c r="Z2" s="6">
        <v>45962</v>
      </c>
      <c r="AA2" s="6">
        <v>45992</v>
      </c>
      <c r="AB2" s="6">
        <v>46023</v>
      </c>
      <c r="AC2" s="6">
        <v>46054</v>
      </c>
      <c r="AD2" s="6">
        <v>46082</v>
      </c>
    </row>
    <row r="3" spans="1:30" ht="18.399999999999999">
      <c r="A3" s="2" t="s">
        <v>1</v>
      </c>
      <c r="B3" s="4"/>
      <c r="C3" s="4"/>
      <c r="D3" s="4"/>
      <c r="E3" s="4"/>
      <c r="F3" s="4"/>
      <c r="G3" s="4"/>
      <c r="H3" s="4"/>
      <c r="I3" s="4"/>
      <c r="J3" s="4"/>
      <c r="K3" s="4"/>
      <c r="L3" s="4"/>
      <c r="M3" s="4"/>
      <c r="N3" s="4"/>
      <c r="O3" s="4"/>
      <c r="P3" s="4"/>
      <c r="Q3" s="4"/>
      <c r="R3" s="4"/>
      <c r="S3" s="4"/>
      <c r="T3" s="4"/>
      <c r="U3" s="4"/>
      <c r="V3" s="4"/>
      <c r="W3" s="4"/>
      <c r="X3" s="4"/>
      <c r="Y3" s="4"/>
      <c r="Z3" s="4"/>
      <c r="AA3" s="4"/>
      <c r="AB3" s="4"/>
      <c r="AC3" s="4"/>
      <c r="AD3" s="4"/>
    </row>
    <row r="4" spans="1:30">
      <c r="A4" s="1" t="s">
        <v>2</v>
      </c>
      <c r="B4" s="4"/>
      <c r="C4" s="4"/>
      <c r="D4" s="4"/>
      <c r="E4" s="4"/>
      <c r="F4" s="4"/>
      <c r="G4" s="4"/>
      <c r="H4" s="4"/>
      <c r="I4" s="4"/>
      <c r="J4" s="4"/>
      <c r="K4" s="4"/>
      <c r="L4" s="4"/>
      <c r="M4" s="4"/>
      <c r="N4" s="4"/>
      <c r="O4" s="4"/>
      <c r="P4" s="4"/>
      <c r="Q4" s="4"/>
      <c r="R4" s="4"/>
      <c r="S4" s="4"/>
      <c r="T4" s="4"/>
      <c r="U4" s="4"/>
      <c r="V4" s="4"/>
      <c r="W4" s="4"/>
      <c r="X4" s="4"/>
      <c r="Y4" s="4"/>
      <c r="Z4" s="4"/>
      <c r="AA4" s="4"/>
      <c r="AB4" s="4"/>
      <c r="AC4" s="4"/>
      <c r="AD4" s="4"/>
    </row>
    <row r="5" spans="1:30">
      <c r="A5" t="s">
        <v>3</v>
      </c>
      <c r="B5" s="4">
        <f>(Revenues!$B$9/12)</f>
        <v>4202916666666.6665</v>
      </c>
      <c r="C5" s="4">
        <f>(Revenues!$B$9/12)</f>
        <v>4202916666666.6665</v>
      </c>
      <c r="D5" s="4">
        <f>Revenues!$C$9/12</f>
        <v>0</v>
      </c>
      <c r="E5" s="4">
        <f>Revenues!$C$9/12</f>
        <v>0</v>
      </c>
      <c r="F5" s="4">
        <f>Revenues!$C$9/12</f>
        <v>0</v>
      </c>
      <c r="G5" s="4">
        <f>Revenues!$C$9/12</f>
        <v>0</v>
      </c>
      <c r="H5" s="4">
        <f>Revenues!$C$9/12</f>
        <v>0</v>
      </c>
      <c r="I5" s="4">
        <f>Revenues!$C$9/12</f>
        <v>0</v>
      </c>
      <c r="J5" s="4">
        <f>Revenues!$C$9/12</f>
        <v>0</v>
      </c>
      <c r="K5" s="4">
        <f>Revenues!$C$9/12</f>
        <v>0</v>
      </c>
      <c r="L5" s="4">
        <f>Revenues!$C$9/12</f>
        <v>0</v>
      </c>
      <c r="M5" s="4">
        <f>Revenues!$C$9/12</f>
        <v>0</v>
      </c>
      <c r="N5" s="4">
        <f>Revenues!$C$9/12</f>
        <v>0</v>
      </c>
      <c r="O5" s="4">
        <f>Revenues!$C$9/12</f>
        <v>0</v>
      </c>
      <c r="P5" s="4">
        <f>Revenues!$D$9/12</f>
        <v>0</v>
      </c>
      <c r="Q5" s="4">
        <f>Revenues!$D$9/12</f>
        <v>0</v>
      </c>
      <c r="R5" s="4">
        <f>Revenues!$D$9/12</f>
        <v>0</v>
      </c>
      <c r="S5" s="4">
        <f>Revenues!$D$9/12</f>
        <v>0</v>
      </c>
      <c r="T5" s="4">
        <f>Revenues!$D$9/12</f>
        <v>0</v>
      </c>
      <c r="U5" s="4">
        <f>Revenues!$D$9/12</f>
        <v>0</v>
      </c>
      <c r="V5" s="4">
        <f>Revenues!$D$9/12</f>
        <v>0</v>
      </c>
      <c r="W5" s="4">
        <f>Revenues!$D$9/12</f>
        <v>0</v>
      </c>
      <c r="X5" s="4">
        <f>Revenues!$D$9/12</f>
        <v>0</v>
      </c>
      <c r="Y5" s="4">
        <f>Revenues!$D$9/12</f>
        <v>0</v>
      </c>
      <c r="Z5" s="4">
        <f>Revenues!$D$9/12</f>
        <v>0</v>
      </c>
      <c r="AA5" s="4">
        <f>Revenues!$D$9/12</f>
        <v>0</v>
      </c>
      <c r="AB5" s="4">
        <f>Revenues!$E$9/12</f>
        <v>4837652.0356266685</v>
      </c>
      <c r="AC5" s="4">
        <f>Revenues!$E$9/12</f>
        <v>4837652.0356266685</v>
      </c>
      <c r="AD5" s="4">
        <f>Revenues!$E$9/12</f>
        <v>4837652.0356266685</v>
      </c>
    </row>
    <row r="6" spans="1:30">
      <c r="A6" t="s">
        <v>4</v>
      </c>
      <c r="B6" s="4"/>
      <c r="C6" s="4"/>
      <c r="D6" s="4"/>
      <c r="E6" s="4"/>
      <c r="F6" s="4"/>
      <c r="G6" s="4"/>
      <c r="H6" s="4"/>
      <c r="I6" s="4"/>
      <c r="J6" s="4"/>
      <c r="K6" s="4"/>
      <c r="L6" s="4"/>
      <c r="M6" s="4"/>
      <c r="N6" s="4"/>
      <c r="O6" s="4"/>
      <c r="P6" s="4"/>
      <c r="Q6" s="4"/>
      <c r="R6" s="4"/>
      <c r="S6" s="4"/>
      <c r="T6" s="4"/>
      <c r="U6" s="4"/>
      <c r="V6" s="4"/>
      <c r="W6" s="4"/>
      <c r="X6" s="4"/>
      <c r="Y6" s="4"/>
      <c r="Z6" s="4"/>
      <c r="AA6" s="4"/>
      <c r="AB6" s="4"/>
      <c r="AC6" s="4"/>
      <c r="AD6" s="4"/>
    </row>
    <row r="7" spans="1:30">
      <c r="A7" t="s">
        <v>5</v>
      </c>
      <c r="B7" s="4"/>
      <c r="C7" s="4"/>
      <c r="D7" s="4"/>
      <c r="E7" s="4"/>
      <c r="F7" s="4"/>
      <c r="G7" s="4"/>
      <c r="H7" s="4"/>
      <c r="I7" s="4"/>
      <c r="J7" s="4"/>
      <c r="K7" s="4"/>
      <c r="L7" s="4"/>
      <c r="M7" s="4"/>
      <c r="N7" s="4"/>
      <c r="O7" s="4"/>
      <c r="P7" s="4"/>
      <c r="Q7" s="4"/>
      <c r="R7" s="4"/>
      <c r="S7" s="4"/>
      <c r="T7" s="4"/>
      <c r="U7" s="4"/>
      <c r="V7" s="4"/>
      <c r="W7" s="4"/>
      <c r="X7" s="4"/>
      <c r="Y7" s="4"/>
      <c r="Z7" s="4"/>
      <c r="AA7" s="4"/>
      <c r="AB7" s="4"/>
      <c r="AC7" s="4"/>
      <c r="AD7" s="4"/>
    </row>
    <row r="8" spans="1:30">
      <c r="B8" s="4"/>
      <c r="C8" s="4"/>
      <c r="D8" s="4"/>
      <c r="E8" s="4"/>
      <c r="F8" s="4"/>
      <c r="G8" s="4"/>
      <c r="H8" s="4"/>
      <c r="I8" s="4"/>
      <c r="J8" s="4"/>
      <c r="K8" s="4"/>
      <c r="L8" s="4"/>
      <c r="M8" s="4"/>
      <c r="N8" s="4"/>
      <c r="O8" s="4"/>
      <c r="P8" s="4"/>
      <c r="Q8" s="4"/>
      <c r="R8" s="4"/>
      <c r="S8" s="4"/>
      <c r="T8" s="4"/>
      <c r="U8" s="4"/>
      <c r="V8" s="4"/>
      <c r="W8" s="4"/>
      <c r="X8" s="4"/>
      <c r="Y8" s="4"/>
      <c r="Z8" s="4"/>
      <c r="AA8" s="4"/>
      <c r="AB8" s="4"/>
      <c r="AC8" s="4"/>
      <c r="AD8" s="4"/>
    </row>
    <row r="9" spans="1:30">
      <c r="A9" s="1" t="s">
        <v>6</v>
      </c>
      <c r="B9" s="4"/>
      <c r="C9" s="4"/>
      <c r="D9" s="4"/>
      <c r="E9" s="4"/>
      <c r="F9" s="4"/>
      <c r="G9" s="4"/>
      <c r="H9" s="4"/>
      <c r="I9" s="4"/>
      <c r="J9" s="4"/>
      <c r="K9" s="4"/>
      <c r="L9" s="4"/>
      <c r="M9" s="4"/>
      <c r="N9" s="4"/>
      <c r="O9" s="4"/>
      <c r="P9" s="4"/>
      <c r="Q9" s="4"/>
      <c r="R9" s="4"/>
      <c r="S9" s="4"/>
      <c r="T9" s="4"/>
      <c r="U9" s="4"/>
      <c r="V9" s="4"/>
      <c r="W9" s="4"/>
      <c r="X9" s="4"/>
      <c r="Y9" s="4"/>
      <c r="Z9" s="4"/>
      <c r="AA9" s="4"/>
      <c r="AB9" s="4"/>
      <c r="AC9" s="4"/>
      <c r="AD9" s="4"/>
    </row>
    <row r="10" spans="1:30">
      <c r="A10" s="1" t="s">
        <v>13</v>
      </c>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spans="1:30">
      <c r="A11" t="s">
        <v>14</v>
      </c>
      <c r="B11" s="4" t="e">
        <f>'Price Calculations, Assumptions'!#REF!*30</f>
        <v>#REF!</v>
      </c>
      <c r="C11" s="4" t="e">
        <f>'Price Calculations, Assumptions'!#REF!*30</f>
        <v>#REF!</v>
      </c>
      <c r="D11" s="4" t="e">
        <f>'Price Calculations, Assumptions'!#REF!*30</f>
        <v>#REF!</v>
      </c>
      <c r="E11" s="4" t="e">
        <f>'Price Calculations, Assumptions'!#REF!*30</f>
        <v>#REF!</v>
      </c>
      <c r="F11" s="4" t="e">
        <f>'Price Calculations, Assumptions'!#REF!*30</f>
        <v>#REF!</v>
      </c>
      <c r="G11" s="4" t="e">
        <f>'Price Calculations, Assumptions'!#REF!*30</f>
        <v>#REF!</v>
      </c>
      <c r="H11" s="4" t="e">
        <f>'Price Calculations, Assumptions'!#REF!*30</f>
        <v>#REF!</v>
      </c>
      <c r="I11" s="4" t="e">
        <f>'Price Calculations, Assumptions'!#REF!*30</f>
        <v>#REF!</v>
      </c>
      <c r="J11" s="4" t="e">
        <f>'Price Calculations, Assumptions'!#REF!*30</f>
        <v>#REF!</v>
      </c>
      <c r="K11" s="4" t="e">
        <f>'Price Calculations, Assumptions'!#REF!*30</f>
        <v>#REF!</v>
      </c>
      <c r="L11" s="4" t="e">
        <f>'Price Calculations, Assumptions'!#REF!*30</f>
        <v>#REF!</v>
      </c>
      <c r="M11" s="4" t="e">
        <f>'Price Calculations, Assumptions'!#REF!*30</f>
        <v>#REF!</v>
      </c>
      <c r="N11" s="4" t="e">
        <f>'Price Calculations, Assumptions'!#REF!*30</f>
        <v>#REF!</v>
      </c>
      <c r="O11" s="4" t="e">
        <f>'Price Calculations, Assumptions'!#REF!*30</f>
        <v>#REF!</v>
      </c>
      <c r="P11" s="4" t="e">
        <f>'Price Calculations, Assumptions'!#REF!*30</f>
        <v>#REF!</v>
      </c>
      <c r="Q11" s="4" t="e">
        <f>'Price Calculations, Assumptions'!#REF!*30</f>
        <v>#REF!</v>
      </c>
      <c r="R11" s="4" t="e">
        <f>'Price Calculations, Assumptions'!#REF!*30</f>
        <v>#REF!</v>
      </c>
      <c r="S11" s="4" t="e">
        <f>'Price Calculations, Assumptions'!#REF!*30</f>
        <v>#REF!</v>
      </c>
      <c r="T11" s="4" t="e">
        <f>'Price Calculations, Assumptions'!#REF!*30</f>
        <v>#REF!</v>
      </c>
      <c r="U11" s="4" t="e">
        <f>'Price Calculations, Assumptions'!#REF!*30</f>
        <v>#REF!</v>
      </c>
      <c r="V11" s="4" t="e">
        <f>'Price Calculations, Assumptions'!#REF!*30</f>
        <v>#REF!</v>
      </c>
      <c r="W11" s="4" t="e">
        <f>'Price Calculations, Assumptions'!#REF!*30</f>
        <v>#REF!</v>
      </c>
      <c r="X11" s="4" t="e">
        <f>'Price Calculations, Assumptions'!#REF!*30</f>
        <v>#REF!</v>
      </c>
      <c r="Y11" s="4" t="e">
        <f>'Price Calculations, Assumptions'!#REF!*30</f>
        <v>#REF!</v>
      </c>
      <c r="Z11" s="4" t="e">
        <f>'Price Calculations, Assumptions'!#REF!*30</f>
        <v>#REF!</v>
      </c>
      <c r="AA11" s="4" t="e">
        <f>'Price Calculations, Assumptions'!#REF!*30</f>
        <v>#REF!</v>
      </c>
      <c r="AB11" s="4" t="e">
        <f>'Price Calculations, Assumptions'!#REF!*30</f>
        <v>#REF!</v>
      </c>
      <c r="AC11" s="4" t="e">
        <f>'Price Calculations, Assumptions'!#REF!*30</f>
        <v>#REF!</v>
      </c>
      <c r="AD11" s="4" t="e">
        <f>'Price Calculations, Assumptions'!#REF!*30</f>
        <v>#REF!</v>
      </c>
    </row>
    <row r="12" spans="1:30">
      <c r="A12" t="s">
        <v>15</v>
      </c>
      <c r="B12" s="4">
        <f t="shared" ref="B12:AD12" si="0">SUM(B13:B24)</f>
        <v>0</v>
      </c>
      <c r="C12" s="4">
        <f t="shared" si="0"/>
        <v>0</v>
      </c>
      <c r="D12" s="4">
        <f t="shared" si="0"/>
        <v>0</v>
      </c>
      <c r="E12" s="4">
        <f t="shared" si="0"/>
        <v>0</v>
      </c>
      <c r="F12" s="4">
        <f t="shared" si="0"/>
        <v>0</v>
      </c>
      <c r="G12" s="4">
        <f t="shared" si="0"/>
        <v>0</v>
      </c>
      <c r="H12" s="4">
        <f t="shared" si="0"/>
        <v>0</v>
      </c>
      <c r="I12" s="4">
        <f t="shared" si="0"/>
        <v>0</v>
      </c>
      <c r="J12" s="4">
        <f t="shared" si="0"/>
        <v>0</v>
      </c>
      <c r="K12" s="4">
        <f t="shared" si="0"/>
        <v>0</v>
      </c>
      <c r="L12" s="4">
        <f t="shared" si="0"/>
        <v>0</v>
      </c>
      <c r="M12" s="4">
        <f t="shared" si="0"/>
        <v>0</v>
      </c>
      <c r="N12" s="4">
        <f t="shared" si="0"/>
        <v>0</v>
      </c>
      <c r="O12" s="4">
        <f t="shared" si="0"/>
        <v>0</v>
      </c>
      <c r="P12" s="4">
        <f t="shared" si="0"/>
        <v>0</v>
      </c>
      <c r="Q12" s="4">
        <f t="shared" si="0"/>
        <v>0</v>
      </c>
      <c r="R12" s="4">
        <f t="shared" si="0"/>
        <v>0</v>
      </c>
      <c r="S12" s="4">
        <f t="shared" si="0"/>
        <v>0</v>
      </c>
      <c r="T12" s="4">
        <f t="shared" si="0"/>
        <v>295320</v>
      </c>
      <c r="U12" s="4">
        <f t="shared" si="0"/>
        <v>590640</v>
      </c>
      <c r="V12" s="4">
        <f t="shared" si="0"/>
        <v>664800</v>
      </c>
      <c r="W12" s="4">
        <f t="shared" si="0"/>
        <v>664800</v>
      </c>
      <c r="X12" s="4">
        <f t="shared" si="0"/>
        <v>666120</v>
      </c>
      <c r="Y12" s="4">
        <f t="shared" si="0"/>
        <v>664800</v>
      </c>
      <c r="Z12" s="4">
        <f t="shared" si="0"/>
        <v>369480</v>
      </c>
      <c r="AA12" s="4">
        <f t="shared" si="0"/>
        <v>295320</v>
      </c>
      <c r="AB12" s="4">
        <f t="shared" si="0"/>
        <v>172853.33333333334</v>
      </c>
      <c r="AC12" s="4">
        <f t="shared" si="0"/>
        <v>24533.333333333332</v>
      </c>
      <c r="AD12" s="4">
        <f t="shared" si="0"/>
        <v>24533.333333333332</v>
      </c>
    </row>
    <row r="13" spans="1:30">
      <c r="A13" s="9" t="s">
        <v>16</v>
      </c>
      <c r="B13" s="8"/>
      <c r="C13" s="8"/>
      <c r="D13" s="8"/>
      <c r="E13" s="8"/>
      <c r="F13" s="8"/>
      <c r="G13" s="8"/>
      <c r="H13" s="8"/>
      <c r="I13" s="8"/>
      <c r="J13" s="8"/>
      <c r="K13" s="8"/>
      <c r="L13" s="8"/>
      <c r="M13" s="8"/>
      <c r="N13" s="8"/>
      <c r="O13" s="8"/>
      <c r="P13" s="8"/>
      <c r="Q13" s="8"/>
      <c r="R13" s="8"/>
      <c r="S13" s="8"/>
      <c r="T13" s="8"/>
      <c r="U13" s="8">
        <f>'Data from MS project'!$E$95/5</f>
        <v>74160</v>
      </c>
      <c r="V13" s="8">
        <f>'Data from MS project'!$E$95/5</f>
        <v>74160</v>
      </c>
      <c r="W13" s="8">
        <f>'Data from MS project'!$E$95/5</f>
        <v>74160</v>
      </c>
      <c r="X13" s="8">
        <f>'Data from MS project'!$E$95/5</f>
        <v>74160</v>
      </c>
      <c r="Y13" s="8">
        <f>'Data from MS project'!$E$95/5</f>
        <v>74160</v>
      </c>
      <c r="Z13" s="8"/>
      <c r="AA13" s="8"/>
      <c r="AB13" s="8"/>
      <c r="AC13" s="8"/>
      <c r="AD13" s="8"/>
    </row>
    <row r="14" spans="1:30">
      <c r="A14" s="9" t="s">
        <v>17</v>
      </c>
      <c r="B14" s="4"/>
      <c r="C14" s="4"/>
      <c r="D14" s="4"/>
      <c r="E14" s="4"/>
      <c r="F14" s="4"/>
      <c r="G14" s="4"/>
      <c r="H14" s="4"/>
      <c r="I14" s="4"/>
      <c r="J14" s="4"/>
      <c r="K14" s="4"/>
      <c r="L14" s="4"/>
      <c r="M14" s="4"/>
      <c r="N14" s="4"/>
      <c r="O14" s="4"/>
      <c r="P14" s="4"/>
      <c r="Q14" s="4"/>
      <c r="R14" s="4"/>
      <c r="S14" s="4"/>
      <c r="T14" s="4">
        <f>'Data from MS project'!$E$104/5</f>
        <v>74160</v>
      </c>
      <c r="U14" s="4">
        <f>'Data from MS project'!$E$104/5</f>
        <v>74160</v>
      </c>
      <c r="V14" s="4">
        <f>'Data from MS project'!$E$104/5</f>
        <v>74160</v>
      </c>
      <c r="W14" s="4">
        <f>'Data from MS project'!$E$104/5</f>
        <v>74160</v>
      </c>
      <c r="X14" s="4">
        <f>'Data from MS project'!$E$104/5</f>
        <v>74160</v>
      </c>
      <c r="Y14" s="4"/>
      <c r="Z14" s="4"/>
      <c r="AA14" s="4"/>
      <c r="AB14" s="4"/>
      <c r="AC14" s="4"/>
      <c r="AD14" s="4"/>
    </row>
    <row r="15" spans="1:30">
      <c r="A15" s="9" t="s">
        <v>18</v>
      </c>
      <c r="B15" s="4"/>
      <c r="C15" s="4"/>
      <c r="D15" s="4"/>
      <c r="E15" s="4"/>
      <c r="F15" s="4"/>
      <c r="G15" s="4"/>
      <c r="H15" s="4"/>
      <c r="I15" s="4"/>
      <c r="J15" s="4"/>
      <c r="K15" s="4"/>
      <c r="L15" s="4"/>
      <c r="M15" s="4"/>
      <c r="N15" s="4"/>
      <c r="O15" s="4"/>
      <c r="P15" s="4"/>
      <c r="Q15" s="4"/>
      <c r="R15" s="4"/>
      <c r="S15" s="4"/>
      <c r="T15" s="4"/>
      <c r="U15" s="4">
        <f>'Data from MS project'!$E$109/3</f>
        <v>147000</v>
      </c>
      <c r="V15" s="4">
        <f>'Data from MS project'!$E$109/3</f>
        <v>147000</v>
      </c>
      <c r="W15" s="4">
        <f>'Data from MS project'!$E$109/3</f>
        <v>147000</v>
      </c>
      <c r="X15" s="4"/>
      <c r="Y15" s="4"/>
      <c r="Z15" s="4"/>
      <c r="AA15" s="4"/>
      <c r="AB15" s="4"/>
      <c r="AC15" s="4"/>
      <c r="AD15" s="4"/>
    </row>
    <row r="16" spans="1:30">
      <c r="A16" s="9" t="s">
        <v>19</v>
      </c>
      <c r="B16" s="4"/>
      <c r="C16" s="4"/>
      <c r="D16" s="4"/>
      <c r="E16" s="4"/>
      <c r="F16" s="4"/>
      <c r="G16" s="4"/>
      <c r="H16" s="4"/>
      <c r="I16" s="4"/>
      <c r="J16" s="4"/>
      <c r="K16" s="4"/>
      <c r="L16" s="4"/>
      <c r="M16" s="4"/>
      <c r="N16" s="4"/>
      <c r="O16" s="4"/>
      <c r="P16" s="4"/>
      <c r="Q16" s="4"/>
      <c r="R16" s="4"/>
      <c r="S16" s="4"/>
      <c r="T16" s="4"/>
      <c r="U16" s="4">
        <f>'Data from MS project'!$E$118/5</f>
        <v>74160</v>
      </c>
      <c r="V16" s="4">
        <f>'Data from MS project'!$E$118/5</f>
        <v>74160</v>
      </c>
      <c r="W16" s="4">
        <f>'Data from MS project'!$E$118/5</f>
        <v>74160</v>
      </c>
      <c r="X16" s="4">
        <f>'Data from MS project'!$E$118/5</f>
        <v>74160</v>
      </c>
      <c r="Y16" s="4">
        <f>'Data from MS project'!$E$118/5</f>
        <v>74160</v>
      </c>
      <c r="Z16" s="4"/>
      <c r="AA16" s="4"/>
      <c r="AB16" s="4"/>
      <c r="AC16" s="4"/>
      <c r="AD16" s="4"/>
    </row>
    <row r="17" spans="1:32" s="1" customFormat="1">
      <c r="A17" s="9" t="s">
        <v>20</v>
      </c>
      <c r="B17" s="4"/>
      <c r="C17" s="4"/>
      <c r="D17" s="4"/>
      <c r="E17" s="4"/>
      <c r="F17" s="4"/>
      <c r="G17" s="4"/>
      <c r="H17" s="4"/>
      <c r="I17" s="4"/>
      <c r="J17" s="4"/>
      <c r="K17" s="4"/>
      <c r="L17" s="4"/>
      <c r="M17" s="4"/>
      <c r="N17" s="4"/>
      <c r="O17" s="4"/>
      <c r="P17" s="4"/>
      <c r="Q17" s="4"/>
      <c r="R17" s="4"/>
      <c r="S17" s="4"/>
      <c r="T17" s="4"/>
      <c r="U17" s="4"/>
      <c r="V17" s="4">
        <f>'Data from MS project'!$E$127/5</f>
        <v>74160</v>
      </c>
      <c r="W17" s="4">
        <f>'Data from MS project'!$E$127/5</f>
        <v>74160</v>
      </c>
      <c r="X17" s="4">
        <f>'Data from MS project'!$E$127/5</f>
        <v>74160</v>
      </c>
      <c r="Y17" s="4">
        <f>'Data from MS project'!$E$127/5</f>
        <v>74160</v>
      </c>
      <c r="Z17" s="4">
        <f>'Data from MS project'!$E$127/5</f>
        <v>74160</v>
      </c>
      <c r="AA17" s="4"/>
      <c r="AB17" s="4"/>
      <c r="AC17" s="4"/>
      <c r="AD17" s="4"/>
    </row>
    <row r="18" spans="1:32">
      <c r="A18" s="9" t="s">
        <v>21</v>
      </c>
      <c r="B18" s="4"/>
      <c r="C18" s="4"/>
      <c r="D18" s="4"/>
      <c r="E18" s="4"/>
      <c r="F18" s="4"/>
      <c r="G18" s="4"/>
      <c r="H18" s="4"/>
      <c r="I18" s="4"/>
      <c r="J18" s="4"/>
      <c r="K18" s="4"/>
      <c r="L18" s="4"/>
      <c r="M18" s="4"/>
      <c r="N18" s="4"/>
      <c r="O18" s="4"/>
      <c r="P18" s="4"/>
      <c r="Q18" s="4"/>
      <c r="R18" s="4"/>
      <c r="S18" s="4"/>
      <c r="T18" s="4">
        <f>'Data from MS project'!$E$140/5</f>
        <v>74160</v>
      </c>
      <c r="U18" s="4">
        <f>'Data from MS project'!$E$140/5</f>
        <v>74160</v>
      </c>
      <c r="V18" s="4">
        <f>'Data from MS project'!$E$140/5</f>
        <v>74160</v>
      </c>
      <c r="W18" s="4">
        <f>'Data from MS project'!$E$140/5</f>
        <v>74160</v>
      </c>
      <c r="X18" s="4">
        <f>'Data from MS project'!$E$140/5</f>
        <v>74160</v>
      </c>
      <c r="Y18" s="4"/>
      <c r="Z18" s="4"/>
      <c r="AA18" s="4"/>
      <c r="AB18" s="4"/>
      <c r="AC18" s="4"/>
      <c r="AD18" s="4"/>
    </row>
    <row r="19" spans="1:32">
      <c r="A19" s="9" t="s">
        <v>22</v>
      </c>
      <c r="B19" s="4"/>
      <c r="C19" s="4"/>
      <c r="D19" s="4"/>
      <c r="E19" s="4"/>
      <c r="F19" s="4"/>
      <c r="G19" s="4"/>
      <c r="H19" s="4"/>
      <c r="I19" s="4"/>
      <c r="J19" s="4"/>
      <c r="K19" s="4"/>
      <c r="L19" s="4"/>
      <c r="M19" s="4"/>
      <c r="N19" s="4"/>
      <c r="O19" s="4"/>
      <c r="P19" s="4"/>
      <c r="Q19" s="4"/>
      <c r="R19" s="4"/>
      <c r="S19" s="4"/>
      <c r="T19" s="4">
        <f>'Data from MS project'!$E$145/3</f>
        <v>147000</v>
      </c>
      <c r="U19" s="4">
        <f>'Data from MS project'!$E$145/3</f>
        <v>147000</v>
      </c>
      <c r="V19" s="4">
        <f>'Data from MS project'!$E$145/3</f>
        <v>147000</v>
      </c>
      <c r="W19" s="4"/>
      <c r="X19" s="4"/>
      <c r="Y19" s="4"/>
      <c r="Z19" s="4"/>
      <c r="AA19" s="4"/>
      <c r="AB19" s="4"/>
      <c r="AC19" s="4"/>
      <c r="AD19" s="4"/>
    </row>
    <row r="20" spans="1:32">
      <c r="A20" s="9" t="s">
        <v>23</v>
      </c>
      <c r="B20" s="4"/>
      <c r="C20" s="4"/>
      <c r="D20" s="4"/>
      <c r="E20" s="4"/>
      <c r="F20" s="4"/>
      <c r="G20" s="4"/>
      <c r="H20" s="4"/>
      <c r="I20" s="4"/>
      <c r="J20" s="4"/>
      <c r="K20" s="4"/>
      <c r="L20" s="4"/>
      <c r="M20" s="4"/>
      <c r="N20" s="4"/>
      <c r="O20" s="4"/>
      <c r="P20" s="4"/>
      <c r="Q20" s="4"/>
      <c r="R20" s="4"/>
      <c r="S20" s="4"/>
      <c r="T20" s="4"/>
      <c r="U20" s="4"/>
      <c r="V20" s="4"/>
      <c r="W20" s="4">
        <f>'Data from MS project'!$E$150/3</f>
        <v>147000</v>
      </c>
      <c r="X20" s="4">
        <f>'Data from MS project'!$E$150/3</f>
        <v>147000</v>
      </c>
      <c r="Y20" s="4">
        <f>'Data from MS project'!$E$150/3</f>
        <v>147000</v>
      </c>
      <c r="Z20" s="4"/>
      <c r="AA20" s="4"/>
      <c r="AB20" s="4"/>
      <c r="AC20" s="4"/>
      <c r="AD20" s="4"/>
    </row>
    <row r="21" spans="1:32">
      <c r="A21" s="9" t="s">
        <v>24</v>
      </c>
      <c r="B21" s="4"/>
      <c r="C21" s="4"/>
      <c r="D21" s="4"/>
      <c r="E21" s="4"/>
      <c r="F21" s="4"/>
      <c r="G21" s="4"/>
      <c r="H21" s="4"/>
      <c r="I21" s="4"/>
      <c r="J21" s="4"/>
      <c r="K21" s="4"/>
      <c r="L21" s="4"/>
      <c r="M21" s="4"/>
      <c r="N21" s="4"/>
      <c r="O21" s="4"/>
      <c r="P21" s="4"/>
      <c r="Q21" s="4"/>
      <c r="R21" s="4"/>
      <c r="S21" s="4"/>
      <c r="T21" s="4"/>
      <c r="U21" s="4"/>
      <c r="V21" s="4"/>
      <c r="W21" s="4"/>
      <c r="X21" s="4">
        <f>'Data from MS project'!$E$159/5</f>
        <v>74160</v>
      </c>
      <c r="Y21" s="4">
        <f>'Data from MS project'!$E$159/5</f>
        <v>74160</v>
      </c>
      <c r="Z21" s="4">
        <f>'Data from MS project'!$E$159/5</f>
        <v>74160</v>
      </c>
      <c r="AA21" s="4">
        <f>'Data from MS project'!$E$159/5</f>
        <v>74160</v>
      </c>
      <c r="AB21" s="4">
        <f>'Data from MS project'!$E$159/5</f>
        <v>74160</v>
      </c>
      <c r="AC21" s="4"/>
      <c r="AD21" s="4"/>
      <c r="AF21" s="4"/>
    </row>
    <row r="22" spans="1:32" s="9" customFormat="1">
      <c r="A22" s="9" t="s">
        <v>25</v>
      </c>
      <c r="B22"/>
      <c r="C22" s="3"/>
      <c r="D22" s="3"/>
      <c r="E22" s="3"/>
      <c r="F22" s="3"/>
      <c r="G22" s="3"/>
      <c r="H22" s="3"/>
      <c r="I22" s="3"/>
      <c r="J22" s="3"/>
      <c r="K22" s="3"/>
      <c r="L22" s="3"/>
      <c r="M22"/>
      <c r="N22"/>
      <c r="O22"/>
      <c r="P22"/>
      <c r="Q22"/>
      <c r="R22"/>
      <c r="S22"/>
      <c r="T22"/>
      <c r="U22"/>
      <c r="V22"/>
      <c r="W22"/>
      <c r="X22"/>
      <c r="Y22">
        <f>'Data from MS project'!$E$172/3</f>
        <v>147000</v>
      </c>
      <c r="Z22">
        <f>'Data from MS project'!$E$172/3</f>
        <v>147000</v>
      </c>
      <c r="AA22">
        <f>'Data from MS project'!$E$172/3</f>
        <v>147000</v>
      </c>
      <c r="AB22"/>
      <c r="AC22"/>
      <c r="AD22"/>
      <c r="AF22" s="4"/>
    </row>
    <row r="23" spans="1:32">
      <c r="A23" s="9" t="s">
        <v>26</v>
      </c>
      <c r="C23" s="3"/>
      <c r="D23" s="3"/>
      <c r="E23" s="3"/>
      <c r="F23" s="3"/>
      <c r="G23" s="3"/>
      <c r="H23" s="3"/>
      <c r="I23" s="3"/>
      <c r="J23" s="3"/>
      <c r="K23" s="3"/>
      <c r="L23" s="3"/>
      <c r="M23" s="3"/>
      <c r="X23">
        <f>'Data from MS project'!$E$177/5</f>
        <v>74160</v>
      </c>
      <c r="Y23">
        <f>'Data from MS project'!$E$177/5</f>
        <v>74160</v>
      </c>
      <c r="Z23">
        <f>'Data from MS project'!$E$177/5</f>
        <v>74160</v>
      </c>
      <c r="AA23">
        <f>'Data from MS project'!$E$177/5</f>
        <v>74160</v>
      </c>
      <c r="AB23">
        <f>'Data from MS project'!$E$177/5</f>
        <v>74160</v>
      </c>
      <c r="AF23" s="4"/>
    </row>
    <row r="24" spans="1:32">
      <c r="A24" s="9" t="s">
        <v>27</v>
      </c>
      <c r="C24" s="10"/>
      <c r="D24" s="10"/>
      <c r="E24" s="10"/>
      <c r="F24" s="10"/>
      <c r="G24" s="10"/>
      <c r="H24" s="10"/>
      <c r="I24" s="10"/>
      <c r="J24" s="10"/>
      <c r="K24" s="10"/>
      <c r="L24" s="10"/>
      <c r="M24" s="10"/>
      <c r="AB24" s="4">
        <f>'Data from MS project'!$E$182/3</f>
        <v>24533.333333333332</v>
      </c>
      <c r="AC24" s="4">
        <f>'Data from MS project'!$E$182/3</f>
        <v>24533.333333333332</v>
      </c>
      <c r="AD24" s="4">
        <f>'Data from MS project'!$E$182/3</f>
        <v>24533.333333333332</v>
      </c>
      <c r="AF24" s="4"/>
    </row>
    <row r="25" spans="1:32">
      <c r="A25" t="s">
        <v>28</v>
      </c>
      <c r="AF25" s="4"/>
    </row>
    <row r="26" spans="1:32">
      <c r="A26" s="1" t="s">
        <v>29</v>
      </c>
      <c r="AF26" s="4"/>
    </row>
    <row r="27" spans="1:32">
      <c r="A27" t="s">
        <v>501</v>
      </c>
      <c r="AF27" s="4"/>
    </row>
    <row r="28" spans="1:32">
      <c r="A28" t="s">
        <v>110</v>
      </c>
      <c r="AF28" s="4"/>
    </row>
    <row r="29" spans="1:32">
      <c r="A29" t="s">
        <v>502</v>
      </c>
      <c r="AF29" s="4"/>
    </row>
    <row r="30" spans="1:32">
      <c r="A30" t="s">
        <v>503</v>
      </c>
      <c r="AF30" s="4"/>
    </row>
    <row r="31" spans="1:32">
      <c r="A31" t="s">
        <v>504</v>
      </c>
      <c r="AF31" s="4"/>
    </row>
    <row r="32" spans="1:32">
      <c r="A32" s="1" t="s">
        <v>7</v>
      </c>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F32" s="4"/>
    </row>
    <row r="33" spans="1:32">
      <c r="A33" t="s">
        <v>8</v>
      </c>
      <c r="B33" s="4">
        <f>'Data from MS project'!E3</f>
        <v>1342464</v>
      </c>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F33" s="4"/>
    </row>
    <row r="34" spans="1:32">
      <c r="A34" t="s">
        <v>9</v>
      </c>
      <c r="C34" s="4"/>
      <c r="D34" s="4"/>
      <c r="E34" s="4"/>
      <c r="F34" s="4"/>
      <c r="G34" s="4"/>
      <c r="H34" s="4"/>
      <c r="I34" s="4"/>
      <c r="J34" s="4">
        <f>'Data from MS project'!E16</f>
        <v>2800</v>
      </c>
      <c r="K34" s="4">
        <f>'Data from MS project'!E18</f>
        <v>2240</v>
      </c>
      <c r="L34" s="4"/>
      <c r="M34" s="4"/>
      <c r="N34" s="4"/>
      <c r="O34" s="4"/>
      <c r="P34" s="4"/>
      <c r="Q34" s="4"/>
      <c r="R34" s="4"/>
      <c r="S34" s="4"/>
      <c r="T34" s="4"/>
      <c r="U34" s="4"/>
      <c r="V34" s="4"/>
      <c r="W34" s="4"/>
      <c r="X34" s="4"/>
      <c r="Y34" s="4"/>
      <c r="Z34" s="4"/>
      <c r="AA34" s="4"/>
      <c r="AB34" s="4"/>
      <c r="AC34" s="4"/>
      <c r="AD34" s="4"/>
    </row>
    <row r="35" spans="1:32">
      <c r="A35" t="s">
        <v>10</v>
      </c>
      <c r="B35" s="4"/>
      <c r="C35" s="4"/>
      <c r="D35" s="4"/>
      <c r="E35" s="4"/>
      <c r="F35" s="4"/>
      <c r="G35" s="4"/>
      <c r="H35" s="4"/>
      <c r="I35" s="4"/>
      <c r="J35" s="4"/>
      <c r="K35" s="4" t="e">
        <f>SUM('Data from MS project'!#REF!+'Data from MS project'!#REF!+'Data from MS project'!#REF!+'Data from MS project'!#REF!+'Data from MS project'!#REF!+'Data from MS project'!#REF!+'Data from MS project'!#REF!+ 'Data from MS project'!#REF!+'Data from MS project'!#REF!+'Data from MS project'!#REF!+'Data from MS project'!#REF!+'Data from MS project'!#REF!+'Data from MS project'!#REF!)</f>
        <v>#REF!</v>
      </c>
      <c r="L35" s="4"/>
      <c r="M35" s="4"/>
      <c r="N35" s="4">
        <f>SUM('Data from MS project'!E50+'Data from MS project'!E47+'Data from MS project'!E38)</f>
        <v>871300</v>
      </c>
      <c r="O35" s="4">
        <f>'Data from MS project'!E56</f>
        <v>480</v>
      </c>
      <c r="P35" s="4">
        <f>SUM('Data from MS project'!E32+'Data from MS project'!E35+'Data from MS project'!E53)</f>
        <v>11000550</v>
      </c>
      <c r="Q35" s="4">
        <f>SUM('Data from MS project'!E65+'Data from MS project'!E62+'Data from MS project'!E59+'Data from MS project'!E44+'Data from MS project'!E41)</f>
        <v>4401170</v>
      </c>
      <c r="R35" s="4"/>
      <c r="S35" s="4"/>
      <c r="T35" s="4"/>
      <c r="U35" s="4"/>
      <c r="V35" s="4"/>
      <c r="W35" s="4"/>
      <c r="X35" s="4"/>
      <c r="Y35" s="4"/>
      <c r="Z35" s="4"/>
      <c r="AA35" s="4"/>
      <c r="AB35" s="4"/>
      <c r="AC35" s="4"/>
      <c r="AD35" s="4"/>
    </row>
    <row r="36" spans="1:32">
      <c r="A36" t="s">
        <v>11</v>
      </c>
      <c r="B36" s="4"/>
      <c r="C36" s="4"/>
      <c r="D36" s="4"/>
      <c r="E36" s="4"/>
      <c r="F36" s="4"/>
      <c r="G36" s="4"/>
      <c r="H36" s="4"/>
      <c r="I36" s="4"/>
      <c r="J36" s="4"/>
      <c r="K36" s="4"/>
      <c r="L36" s="4"/>
      <c r="M36" s="4"/>
      <c r="N36" s="4"/>
      <c r="O36" s="4"/>
      <c r="P36" s="4"/>
      <c r="Q36" s="4" t="e">
        <f>'Data from MS project'!#REF!+'Data from MS project'!#REF!+'Data from MS project'!#REF!+'Data from MS project'!#REF!+'Data from MS project'!#REF!+'Data from MS project'!#REF!+'Data from MS project'!#REF!+'Data from MS project'!#REF!+'Data from MS project'!#REF!</f>
        <v>#REF!</v>
      </c>
      <c r="R36" s="4"/>
      <c r="S36" s="4" t="e">
        <f>'Data from MS project'!E70+'Data from MS project'!#REF!+'Data from MS project'!#REF!</f>
        <v>#REF!</v>
      </c>
      <c r="T36" s="4"/>
      <c r="U36" s="4"/>
      <c r="V36" s="4"/>
      <c r="W36" s="4"/>
      <c r="X36" s="4"/>
      <c r="Y36" s="4"/>
      <c r="Z36" s="4"/>
      <c r="AA36" s="4"/>
      <c r="AB36" s="4"/>
      <c r="AC36" s="4"/>
      <c r="AD36" s="4"/>
    </row>
    <row r="37" spans="1:32">
      <c r="A37" s="1" t="s">
        <v>12</v>
      </c>
      <c r="B37" s="7">
        <f t="shared" ref="B37:AD37" si="1">SUM(B33:B36)</f>
        <v>1342464</v>
      </c>
      <c r="C37" s="7">
        <f t="shared" si="1"/>
        <v>0</v>
      </c>
      <c r="D37" s="7">
        <f t="shared" si="1"/>
        <v>0</v>
      </c>
      <c r="E37" s="7">
        <f t="shared" si="1"/>
        <v>0</v>
      </c>
      <c r="F37" s="7">
        <f t="shared" si="1"/>
        <v>0</v>
      </c>
      <c r="G37" s="7">
        <f t="shared" si="1"/>
        <v>0</v>
      </c>
      <c r="H37" s="7">
        <f t="shared" si="1"/>
        <v>0</v>
      </c>
      <c r="I37" s="7">
        <f t="shared" si="1"/>
        <v>0</v>
      </c>
      <c r="J37" s="7">
        <f t="shared" si="1"/>
        <v>2800</v>
      </c>
      <c r="K37" s="7" t="e">
        <f t="shared" si="1"/>
        <v>#REF!</v>
      </c>
      <c r="L37" s="7">
        <f t="shared" si="1"/>
        <v>0</v>
      </c>
      <c r="M37" s="7">
        <f t="shared" si="1"/>
        <v>0</v>
      </c>
      <c r="N37" s="7">
        <f t="shared" si="1"/>
        <v>871300</v>
      </c>
      <c r="O37" s="7">
        <f t="shared" si="1"/>
        <v>480</v>
      </c>
      <c r="P37" s="7">
        <f t="shared" si="1"/>
        <v>11000550</v>
      </c>
      <c r="Q37" s="7" t="e">
        <f t="shared" si="1"/>
        <v>#REF!</v>
      </c>
      <c r="R37" s="7">
        <f t="shared" si="1"/>
        <v>0</v>
      </c>
      <c r="S37" s="7" t="e">
        <f t="shared" si="1"/>
        <v>#REF!</v>
      </c>
      <c r="T37" s="7">
        <f t="shared" si="1"/>
        <v>0</v>
      </c>
      <c r="U37" s="7">
        <f t="shared" si="1"/>
        <v>0</v>
      </c>
      <c r="V37" s="7">
        <f t="shared" si="1"/>
        <v>0</v>
      </c>
      <c r="W37" s="7">
        <f t="shared" si="1"/>
        <v>0</v>
      </c>
      <c r="X37" s="7">
        <f t="shared" si="1"/>
        <v>0</v>
      </c>
      <c r="Y37" s="7">
        <f t="shared" si="1"/>
        <v>0</v>
      </c>
      <c r="Z37" s="7">
        <f t="shared" si="1"/>
        <v>0</v>
      </c>
      <c r="AA37" s="7">
        <f t="shared" si="1"/>
        <v>0</v>
      </c>
      <c r="AB37" s="7">
        <f t="shared" si="1"/>
        <v>0</v>
      </c>
      <c r="AC37" s="7">
        <f t="shared" si="1"/>
        <v>0</v>
      </c>
      <c r="AD37" s="7">
        <f t="shared" si="1"/>
        <v>0</v>
      </c>
    </row>
    <row r="38" spans="1:32">
      <c r="A38" t="s">
        <v>505</v>
      </c>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row>
    <row r="39" spans="1:32">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row>
    <row r="40" spans="1:32">
      <c r="A40" t="s">
        <v>506</v>
      </c>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row>
    <row r="41" spans="1:32">
      <c r="A41" t="s">
        <v>507</v>
      </c>
    </row>
    <row r="42" spans="1:32">
      <c r="A42" t="s">
        <v>508</v>
      </c>
    </row>
    <row r="43" spans="1:32">
      <c r="A43" t="s">
        <v>509</v>
      </c>
    </row>
    <row r="44" spans="1:32">
      <c r="A44" t="s">
        <v>510</v>
      </c>
    </row>
    <row r="45" spans="1:32">
      <c r="A45" t="s">
        <v>511</v>
      </c>
    </row>
    <row r="46" spans="1:32">
      <c r="A46" t="s">
        <v>32</v>
      </c>
    </row>
    <row r="47" spans="1:32">
      <c r="A47" t="s">
        <v>512</v>
      </c>
    </row>
    <row r="50" spans="1:1">
      <c r="A50" t="s">
        <v>79</v>
      </c>
    </row>
    <row r="51" spans="1:1">
      <c r="A51" t="s">
        <v>513</v>
      </c>
    </row>
    <row r="52" spans="1:1">
      <c r="A52" t="s">
        <v>514</v>
      </c>
    </row>
    <row r="53" spans="1:1">
      <c r="A53" t="s">
        <v>515</v>
      </c>
    </row>
    <row r="54" spans="1:1">
      <c r="A54" t="s">
        <v>516</v>
      </c>
    </row>
    <row r="57" spans="1:1">
      <c r="A57" t="s">
        <v>517</v>
      </c>
    </row>
    <row r="58" spans="1:1">
      <c r="A58" t="s">
        <v>518</v>
      </c>
    </row>
    <row r="59" spans="1:1">
      <c r="A59" t="s">
        <v>519</v>
      </c>
    </row>
    <row r="60" spans="1:1">
      <c r="A60" t="s">
        <v>520</v>
      </c>
    </row>
    <row r="61" spans="1:1">
      <c r="A61" t="s">
        <v>521</v>
      </c>
    </row>
    <row r="65" spans="1:1">
      <c r="A65"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FBF4C-999C-4D01-9065-FBB7C27B5F59}">
  <dimension ref="A1:AF66"/>
  <sheetViews>
    <sheetView topLeftCell="A2" zoomScaleNormal="80" workbookViewId="0">
      <pane ySplit="1" topLeftCell="A32" activePane="bottomLeft" state="frozen"/>
      <selection pane="bottomLeft" activeCell="A32" sqref="A1:XFD1048576"/>
      <selection activeCell="A2" sqref="A2"/>
    </sheetView>
  </sheetViews>
  <sheetFormatPr defaultRowHeight="14.25"/>
  <cols>
    <col min="1" max="1" width="40.28515625" style="13" customWidth="1"/>
    <col min="2" max="2" width="16.7109375" style="13" bestFit="1" customWidth="1"/>
    <col min="3" max="3" width="17.42578125" style="13" bestFit="1" customWidth="1"/>
    <col min="4" max="5" width="16.28515625" style="13" bestFit="1" customWidth="1"/>
    <col min="6" max="13" width="16.7109375" style="13" bestFit="1" customWidth="1"/>
    <col min="14" max="21" width="9.28515625" style="13" bestFit="1" customWidth="1"/>
    <col min="22" max="16384" width="9.140625" style="13"/>
  </cols>
  <sheetData>
    <row r="1" spans="1:32" ht="15" hidden="1">
      <c r="A1" s="129" t="s">
        <v>0</v>
      </c>
      <c r="B1" s="130">
        <v>0</v>
      </c>
      <c r="C1" s="131">
        <v>1</v>
      </c>
      <c r="D1" s="130">
        <v>2</v>
      </c>
      <c r="E1" s="130">
        <v>3</v>
      </c>
      <c r="F1" s="131">
        <v>4</v>
      </c>
      <c r="G1" s="130">
        <v>5</v>
      </c>
      <c r="H1" s="130">
        <v>6</v>
      </c>
      <c r="I1" s="131">
        <v>7</v>
      </c>
      <c r="J1" s="130">
        <v>8</v>
      </c>
      <c r="K1" s="130">
        <v>9</v>
      </c>
      <c r="L1" s="131">
        <v>10</v>
      </c>
      <c r="M1" s="130">
        <v>11</v>
      </c>
      <c r="N1" s="132"/>
    </row>
    <row r="2" spans="1:32" ht="15">
      <c r="A2" s="129" t="s">
        <v>522</v>
      </c>
      <c r="B2" s="130">
        <v>2023</v>
      </c>
      <c r="C2" s="131">
        <v>2024</v>
      </c>
      <c r="D2" s="130">
        <v>2025</v>
      </c>
      <c r="E2" s="131">
        <v>2026</v>
      </c>
      <c r="F2" s="130">
        <v>2027</v>
      </c>
      <c r="G2" s="131">
        <v>2028</v>
      </c>
      <c r="H2" s="130">
        <v>2029</v>
      </c>
      <c r="I2" s="131">
        <v>2030</v>
      </c>
      <c r="J2" s="131">
        <v>2031</v>
      </c>
      <c r="K2" s="130">
        <v>2032</v>
      </c>
      <c r="L2" s="131">
        <v>2033</v>
      </c>
      <c r="M2" s="131">
        <v>2034</v>
      </c>
      <c r="N2" s="132"/>
      <c r="O2" s="133"/>
      <c r="P2" s="133"/>
      <c r="Q2" s="133"/>
      <c r="R2" s="133"/>
      <c r="S2" s="133"/>
      <c r="T2" s="133"/>
      <c r="U2" s="133"/>
      <c r="V2" s="133"/>
      <c r="W2" s="133"/>
      <c r="X2" s="133"/>
      <c r="Y2" s="133"/>
      <c r="Z2" s="133"/>
      <c r="AA2" s="133"/>
      <c r="AB2" s="133"/>
      <c r="AC2" s="133"/>
      <c r="AD2" s="133"/>
    </row>
    <row r="3" spans="1:32" ht="18">
      <c r="A3" s="134" t="s">
        <v>1</v>
      </c>
      <c r="B3" s="113"/>
      <c r="C3" s="113"/>
      <c r="D3" s="113"/>
      <c r="E3" s="113"/>
      <c r="F3" s="113"/>
      <c r="G3" s="113"/>
      <c r="H3" s="113"/>
      <c r="I3" s="113"/>
      <c r="J3" s="113"/>
      <c r="K3" s="113"/>
      <c r="L3" s="113"/>
      <c r="M3" s="113"/>
      <c r="N3" s="60"/>
      <c r="O3" s="60"/>
      <c r="P3" s="60"/>
      <c r="Q3" s="60"/>
      <c r="R3" s="60"/>
      <c r="S3" s="60"/>
      <c r="T3" s="60"/>
      <c r="U3" s="60"/>
      <c r="V3" s="60"/>
      <c r="W3" s="60"/>
      <c r="X3" s="60"/>
      <c r="Y3" s="60"/>
      <c r="Z3" s="60"/>
      <c r="AA3" s="60"/>
      <c r="AB3" s="60"/>
      <c r="AC3" s="60"/>
      <c r="AD3" s="60"/>
    </row>
    <row r="4" spans="1:32" ht="15">
      <c r="A4" s="54" t="s">
        <v>2</v>
      </c>
      <c r="B4" s="113"/>
      <c r="C4" s="113"/>
      <c r="D4" s="113"/>
      <c r="E4" s="113"/>
      <c r="F4" s="113"/>
      <c r="G4" s="113"/>
      <c r="H4" s="113"/>
      <c r="I4" s="113"/>
      <c r="J4" s="113"/>
      <c r="K4" s="113"/>
      <c r="L4" s="113"/>
      <c r="M4" s="113"/>
      <c r="N4" s="60"/>
      <c r="O4" s="60"/>
      <c r="P4" s="60"/>
      <c r="Q4" s="60"/>
      <c r="R4" s="60"/>
      <c r="S4" s="60"/>
      <c r="T4" s="60"/>
      <c r="U4" s="60"/>
      <c r="V4" s="60"/>
      <c r="W4" s="60"/>
      <c r="X4" s="60"/>
      <c r="Y4" s="60"/>
      <c r="Z4" s="60"/>
      <c r="AA4" s="60"/>
      <c r="AB4" s="60"/>
      <c r="AC4" s="60"/>
      <c r="AD4" s="60"/>
    </row>
    <row r="5" spans="1:32">
      <c r="A5" s="13" t="s">
        <v>523</v>
      </c>
      <c r="B5" s="113"/>
      <c r="C5" s="113">
        <f>B48</f>
        <v>10000000</v>
      </c>
      <c r="D5" s="113"/>
      <c r="E5" s="113"/>
      <c r="F5" s="113"/>
      <c r="G5" s="113"/>
      <c r="H5" s="113"/>
      <c r="I5" s="113"/>
      <c r="J5" s="113"/>
      <c r="K5" s="113"/>
      <c r="L5" s="113"/>
      <c r="M5" s="113"/>
      <c r="N5" s="60"/>
      <c r="O5" s="60"/>
      <c r="P5" s="60"/>
      <c r="Q5" s="60"/>
      <c r="R5" s="60"/>
      <c r="S5" s="60"/>
      <c r="T5" s="60"/>
      <c r="U5" s="60"/>
      <c r="V5" s="60"/>
      <c r="W5" s="60"/>
      <c r="X5" s="60"/>
      <c r="Y5" s="60"/>
      <c r="Z5" s="60"/>
      <c r="AA5" s="60"/>
      <c r="AB5" s="60"/>
      <c r="AC5" s="60"/>
      <c r="AD5" s="60"/>
    </row>
    <row r="6" spans="1:32">
      <c r="A6" s="13" t="s">
        <v>3</v>
      </c>
      <c r="B6" s="113"/>
      <c r="C6" s="113">
        <f>(Revenues!$C$11)</f>
        <v>0</v>
      </c>
      <c r="D6" s="113">
        <f>(Revenues!$D$11)</f>
        <v>0</v>
      </c>
      <c r="E6" s="113">
        <f>(Revenues!$E$11)</f>
        <v>7643490.2162901368</v>
      </c>
      <c r="F6" s="113">
        <f>(Revenues!$F$11)</f>
        <v>11924309.152008034</v>
      </c>
      <c r="G6" s="113">
        <f>(Revenues!$G$11)</f>
        <v>16067154.84596283</v>
      </c>
      <c r="H6" s="113">
        <f>(Revenues!$H$11)</f>
        <v>20580240.118251055</v>
      </c>
      <c r="I6" s="113">
        <f>(Revenues!$I$11)</f>
        <v>25489562.851913854</v>
      </c>
      <c r="J6" s="113">
        <f>(Revenues!$J$11)</f>
        <v>30822763.694775827</v>
      </c>
      <c r="K6" s="113">
        <f>(Revenues!$K$11)</f>
        <v>36609223.865741745</v>
      </c>
      <c r="L6" s="113">
        <f>(Revenues!$L$11)</f>
        <v>42880168.56556762</v>
      </c>
      <c r="M6" s="113">
        <f>(Revenues!$M$11)</f>
        <v>49668776.304790139</v>
      </c>
      <c r="N6" s="60"/>
      <c r="O6" s="60"/>
      <c r="P6" s="60"/>
      <c r="Q6" s="60"/>
      <c r="R6" s="60"/>
      <c r="S6" s="60"/>
      <c r="T6" s="60"/>
      <c r="U6" s="60"/>
      <c r="V6" s="60"/>
      <c r="W6" s="60"/>
      <c r="X6" s="60"/>
      <c r="Y6" s="60"/>
      <c r="Z6" s="60"/>
      <c r="AA6" s="60"/>
      <c r="AB6" s="60"/>
      <c r="AC6" s="60"/>
      <c r="AD6" s="60"/>
    </row>
    <row r="7" spans="1:32">
      <c r="A7" s="13" t="s">
        <v>4</v>
      </c>
      <c r="B7" s="113"/>
      <c r="C7" s="113"/>
      <c r="D7" s="113"/>
      <c r="E7" s="113"/>
      <c r="F7" s="113"/>
      <c r="G7" s="113"/>
      <c r="H7" s="113"/>
      <c r="I7" s="113"/>
      <c r="J7" s="113"/>
      <c r="K7" s="113"/>
      <c r="L7" s="113"/>
      <c r="M7" s="113"/>
      <c r="N7" s="60"/>
      <c r="O7" s="60"/>
      <c r="P7" s="60"/>
      <c r="Q7" s="60"/>
      <c r="R7" s="60"/>
      <c r="S7" s="60"/>
      <c r="T7" s="60"/>
      <c r="U7" s="60"/>
      <c r="V7" s="60"/>
      <c r="W7" s="60"/>
      <c r="X7" s="60"/>
      <c r="Y7" s="60"/>
      <c r="Z7" s="60"/>
      <c r="AA7" s="60"/>
      <c r="AB7" s="60"/>
      <c r="AC7" s="60"/>
      <c r="AD7" s="60"/>
    </row>
    <row r="8" spans="1:32">
      <c r="A8" s="13" t="s">
        <v>5</v>
      </c>
      <c r="B8" s="113"/>
      <c r="C8" s="113"/>
      <c r="D8" s="113"/>
      <c r="E8" s="113"/>
      <c r="F8" s="113"/>
      <c r="G8" s="113"/>
      <c r="H8" s="113"/>
      <c r="I8" s="113"/>
      <c r="J8" s="113"/>
      <c r="K8" s="113"/>
      <c r="L8" s="113"/>
      <c r="M8" s="113"/>
      <c r="N8" s="60"/>
      <c r="O8" s="60"/>
      <c r="P8" s="60"/>
      <c r="Q8" s="60"/>
      <c r="R8" s="60"/>
      <c r="S8" s="60"/>
      <c r="T8" s="60"/>
      <c r="U8" s="60"/>
      <c r="V8" s="60"/>
      <c r="W8" s="60"/>
      <c r="X8" s="60"/>
      <c r="Y8" s="60"/>
      <c r="Z8" s="60"/>
      <c r="AA8" s="60"/>
      <c r="AB8" s="60"/>
      <c r="AC8" s="60"/>
      <c r="AD8" s="60"/>
    </row>
    <row r="9" spans="1:32" ht="15">
      <c r="A9" s="135" t="s">
        <v>524</v>
      </c>
      <c r="B9" s="136"/>
      <c r="C9" s="137">
        <f>SUM(C5:C8)</f>
        <v>10000000</v>
      </c>
      <c r="D9" s="137">
        <f>SUM(D6:D8)</f>
        <v>0</v>
      </c>
      <c r="E9" s="137">
        <f>SUM(E6:E8)</f>
        <v>7643490.2162901368</v>
      </c>
      <c r="F9" s="137">
        <f>SUM(F6:F8)</f>
        <v>11924309.152008034</v>
      </c>
      <c r="G9" s="137">
        <f>SUM(G6:G8)</f>
        <v>16067154.84596283</v>
      </c>
      <c r="H9" s="137">
        <f>SUM(H6:H8)</f>
        <v>20580240.118251055</v>
      </c>
      <c r="I9" s="137">
        <f>SUM(I6:I8)</f>
        <v>25489562.851913854</v>
      </c>
      <c r="J9" s="137">
        <f>SUM(J6:J8)</f>
        <v>30822763.694775827</v>
      </c>
      <c r="K9" s="137">
        <f>SUM(K6:K8)</f>
        <v>36609223.865741745</v>
      </c>
      <c r="L9" s="137">
        <f>SUM(L6:L8)</f>
        <v>42880168.56556762</v>
      </c>
      <c r="M9" s="137">
        <f>SUM(M6:M8)</f>
        <v>49668776.304790139</v>
      </c>
      <c r="N9" s="60"/>
      <c r="O9" s="60"/>
      <c r="P9" s="60"/>
      <c r="Q9" s="60"/>
      <c r="R9" s="60"/>
      <c r="S9" s="60"/>
      <c r="T9" s="60"/>
      <c r="U9" s="60"/>
      <c r="V9" s="60"/>
      <c r="W9" s="60"/>
      <c r="X9" s="60"/>
      <c r="Y9" s="60"/>
      <c r="Z9" s="60"/>
      <c r="AA9" s="60"/>
      <c r="AB9" s="60"/>
      <c r="AC9" s="60"/>
      <c r="AD9" s="60"/>
    </row>
    <row r="10" spans="1:32">
      <c r="B10" s="113"/>
      <c r="C10" s="113"/>
      <c r="D10" s="113"/>
      <c r="E10" s="113"/>
      <c r="F10" s="113"/>
      <c r="G10" s="113"/>
      <c r="H10" s="113"/>
      <c r="I10" s="113"/>
      <c r="J10" s="113"/>
      <c r="K10" s="113"/>
      <c r="L10" s="113"/>
      <c r="M10" s="113"/>
      <c r="N10" s="60"/>
      <c r="O10" s="60"/>
      <c r="P10" s="60"/>
      <c r="Q10" s="60"/>
      <c r="R10" s="60"/>
      <c r="S10" s="60"/>
      <c r="T10" s="60"/>
      <c r="U10" s="60"/>
      <c r="V10" s="60"/>
      <c r="W10" s="60"/>
      <c r="X10" s="60"/>
      <c r="Y10" s="60"/>
      <c r="Z10" s="60"/>
      <c r="AA10" s="60"/>
      <c r="AB10" s="60"/>
      <c r="AC10" s="60"/>
      <c r="AD10" s="60"/>
    </row>
    <row r="11" spans="1:32" ht="15">
      <c r="A11" s="54" t="s">
        <v>6</v>
      </c>
      <c r="B11" s="113"/>
      <c r="C11" s="113"/>
      <c r="D11" s="113"/>
      <c r="E11" s="113"/>
      <c r="F11" s="113"/>
      <c r="G11" s="113"/>
      <c r="H11" s="113"/>
      <c r="I11" s="113"/>
      <c r="J11" s="113"/>
      <c r="K11" s="113"/>
      <c r="L11" s="113"/>
      <c r="M11" s="113"/>
      <c r="N11" s="60"/>
      <c r="O11" s="60"/>
      <c r="P11" s="60"/>
      <c r="Q11" s="60"/>
      <c r="R11" s="60"/>
      <c r="S11" s="60"/>
      <c r="T11" s="60"/>
      <c r="U11" s="60"/>
      <c r="V11" s="60"/>
      <c r="W11" s="60"/>
      <c r="X11" s="60"/>
      <c r="Y11" s="60"/>
      <c r="Z11" s="60"/>
      <c r="AA11" s="60"/>
      <c r="AB11" s="60"/>
      <c r="AC11" s="60"/>
      <c r="AD11" s="60"/>
    </row>
    <row r="12" spans="1:32" ht="15">
      <c r="A12" s="54" t="s">
        <v>13</v>
      </c>
      <c r="B12" s="113"/>
      <c r="C12" s="113"/>
      <c r="D12" s="113"/>
      <c r="E12" s="113"/>
      <c r="F12" s="113"/>
      <c r="G12" s="138" t="s">
        <v>525</v>
      </c>
      <c r="H12" s="138"/>
      <c r="I12" s="138"/>
      <c r="J12" s="138"/>
      <c r="K12" s="138"/>
      <c r="L12" s="113"/>
      <c r="M12" s="113"/>
      <c r="N12" s="60"/>
      <c r="O12" s="60"/>
      <c r="P12" s="60"/>
      <c r="Q12" s="60"/>
      <c r="R12" s="60"/>
      <c r="S12" s="60"/>
      <c r="T12" s="60"/>
      <c r="U12" s="60"/>
      <c r="V12" s="60"/>
      <c r="W12" s="60"/>
      <c r="X12" s="60"/>
      <c r="Y12" s="60"/>
      <c r="Z12" s="60"/>
      <c r="AA12" s="60"/>
      <c r="AB12" s="60"/>
      <c r="AC12" s="60"/>
      <c r="AD12" s="60"/>
    </row>
    <row r="13" spans="1:32">
      <c r="A13" s="13" t="s">
        <v>14</v>
      </c>
      <c r="B13" s="113"/>
      <c r="C13" s="113">
        <f>'Price Calculations, Assumptions'!$D$34*365</f>
        <v>2014732.2</v>
      </c>
      <c r="D13" s="113">
        <f>'Price Calculations, Assumptions'!$D$34*365</f>
        <v>2014732.2</v>
      </c>
      <c r="E13" s="113">
        <f>'Price Calculations, Assumptions'!$D$34*'Price Calculations, Assumptions'!L24</f>
        <v>877650.46520547953</v>
      </c>
      <c r="F13" s="113"/>
      <c r="G13" s="138" t="s">
        <v>526</v>
      </c>
      <c r="H13" s="138"/>
      <c r="I13" s="138"/>
      <c r="J13" s="138"/>
      <c r="K13" s="138"/>
      <c r="L13" s="113"/>
      <c r="M13" s="113"/>
      <c r="N13" s="60"/>
      <c r="O13" s="60"/>
      <c r="P13" s="60"/>
      <c r="Q13" s="60"/>
      <c r="R13" s="60"/>
      <c r="S13" s="60"/>
      <c r="T13" s="60"/>
      <c r="U13" s="60"/>
      <c r="V13" s="60"/>
      <c r="W13" s="60"/>
      <c r="X13" s="60"/>
      <c r="Y13" s="60"/>
      <c r="Z13" s="60"/>
      <c r="AA13" s="60"/>
      <c r="AB13" s="60"/>
      <c r="AC13" s="60"/>
      <c r="AD13" s="60"/>
    </row>
    <row r="14" spans="1:32">
      <c r="A14" s="13" t="s">
        <v>15</v>
      </c>
      <c r="B14" s="113"/>
      <c r="C14" s="113"/>
      <c r="D14" s="113">
        <f>'Data from MS project'!E94-'Data from MS project'!E182</f>
        <v>4286000</v>
      </c>
      <c r="E14" s="113">
        <f>'Data from MS project'!E182</f>
        <v>73600</v>
      </c>
      <c r="F14" s="113"/>
      <c r="G14" s="138"/>
      <c r="H14" s="138"/>
      <c r="I14" s="138"/>
      <c r="J14" s="138"/>
      <c r="K14" s="138"/>
      <c r="L14" s="113"/>
      <c r="M14" s="113"/>
      <c r="N14" s="60"/>
      <c r="O14" s="60"/>
      <c r="P14" s="60"/>
      <c r="Q14" s="60"/>
      <c r="R14" s="60"/>
      <c r="S14" s="60"/>
      <c r="T14" s="60"/>
      <c r="U14" s="60"/>
      <c r="V14" s="60"/>
      <c r="W14" s="60"/>
      <c r="X14" s="60"/>
      <c r="Y14" s="60"/>
      <c r="Z14" s="60"/>
      <c r="AA14" s="60"/>
      <c r="AB14" s="60"/>
      <c r="AC14" s="60"/>
      <c r="AD14" s="60"/>
    </row>
    <row r="15" spans="1:32">
      <c r="A15" s="13" t="s">
        <v>96</v>
      </c>
      <c r="B15" s="113"/>
      <c r="C15" s="113"/>
      <c r="D15" s="113">
        <f>'Data from MS project'!O4+'Data from MS project'!O6+'Data from MS project'!O12+'Data from MS project'!O17+'Data from MS project'!O24+'Data from MS project'!O30</f>
        <v>202904</v>
      </c>
      <c r="E15" s="113">
        <f>'Data from MS project'!O36+'Data from MS project'!O42</f>
        <v>33818</v>
      </c>
      <c r="F15" s="113"/>
      <c r="G15" s="138"/>
      <c r="H15" s="138"/>
      <c r="I15" s="138"/>
      <c r="J15" s="138"/>
      <c r="K15" s="138"/>
      <c r="L15" s="113"/>
      <c r="M15" s="113"/>
      <c r="N15" s="60"/>
      <c r="O15" s="60"/>
      <c r="P15" s="60"/>
      <c r="Q15" s="60"/>
      <c r="R15" s="60"/>
      <c r="S15" s="60"/>
      <c r="T15" s="60"/>
      <c r="U15" s="60"/>
      <c r="V15" s="60"/>
      <c r="W15" s="60"/>
      <c r="X15" s="60"/>
      <c r="Y15" s="60"/>
      <c r="Z15" s="60"/>
      <c r="AA15" s="60"/>
      <c r="AB15" s="60"/>
      <c r="AC15" s="60"/>
      <c r="AD15" s="60"/>
    </row>
    <row r="16" spans="1:32">
      <c r="A16" s="13" t="s">
        <v>527</v>
      </c>
      <c r="E16" s="139">
        <f t="shared" ref="E16:M16" si="0">IPMT($B$52,8,8,$B$48,0,0)*(-1)</f>
        <v>65452.006209430147</v>
      </c>
      <c r="F16" s="139">
        <f t="shared" si="0"/>
        <v>65452.006209430147</v>
      </c>
      <c r="G16" s="139">
        <f t="shared" si="0"/>
        <v>65452.006209430147</v>
      </c>
      <c r="H16" s="139">
        <f t="shared" si="0"/>
        <v>65452.006209430147</v>
      </c>
      <c r="I16" s="139">
        <f t="shared" si="0"/>
        <v>65452.006209430147</v>
      </c>
      <c r="J16" s="139">
        <f t="shared" si="0"/>
        <v>65452.006209430147</v>
      </c>
      <c r="K16" s="139">
        <f t="shared" si="0"/>
        <v>65452.006209430147</v>
      </c>
      <c r="L16" s="139">
        <f t="shared" si="0"/>
        <v>65452.006209430147</v>
      </c>
      <c r="M16" s="139">
        <f t="shared" si="0"/>
        <v>65452.006209430147</v>
      </c>
      <c r="N16" s="60"/>
      <c r="AF16" s="60"/>
    </row>
    <row r="17" spans="1:32">
      <c r="A17" s="13" t="s">
        <v>528</v>
      </c>
      <c r="E17" s="113">
        <f>E18-E16</f>
        <v>1451263.9957745045</v>
      </c>
      <c r="F17" s="113">
        <f>F18-F16</f>
        <v>1451263.9957745045</v>
      </c>
      <c r="G17" s="113">
        <f t="shared" ref="G17:M17" si="1">G18-G16</f>
        <v>1451263.9957745045</v>
      </c>
      <c r="H17" s="113">
        <f t="shared" si="1"/>
        <v>1451263.9957745045</v>
      </c>
      <c r="I17" s="113">
        <f t="shared" si="1"/>
        <v>1451263.9957745045</v>
      </c>
      <c r="J17" s="113">
        <f t="shared" si="1"/>
        <v>1451263.9957745045</v>
      </c>
      <c r="K17" s="113">
        <f t="shared" si="1"/>
        <v>1451263.9957745045</v>
      </c>
      <c r="L17" s="113">
        <f t="shared" si="1"/>
        <v>1451263.9957745045</v>
      </c>
      <c r="M17" s="113">
        <f t="shared" si="1"/>
        <v>1451263.9957745045</v>
      </c>
      <c r="N17" s="60"/>
      <c r="AF17" s="60"/>
    </row>
    <row r="18" spans="1:32">
      <c r="A18" s="13" t="s">
        <v>529</v>
      </c>
      <c r="C18" s="113"/>
      <c r="D18" s="113"/>
      <c r="E18" s="113">
        <f t="shared" ref="E18:M18" si="2">($B$56)*(-1)</f>
        <v>1516716.0019839345</v>
      </c>
      <c r="F18" s="113">
        <f t="shared" si="2"/>
        <v>1516716.0019839345</v>
      </c>
      <c r="G18" s="113">
        <f t="shared" si="2"/>
        <v>1516716.0019839345</v>
      </c>
      <c r="H18" s="113">
        <f t="shared" si="2"/>
        <v>1516716.0019839345</v>
      </c>
      <c r="I18" s="113">
        <f t="shared" si="2"/>
        <v>1516716.0019839345</v>
      </c>
      <c r="J18" s="113">
        <f t="shared" si="2"/>
        <v>1516716.0019839345</v>
      </c>
      <c r="K18" s="113">
        <f t="shared" si="2"/>
        <v>1516716.0019839345</v>
      </c>
      <c r="L18" s="113">
        <f t="shared" si="2"/>
        <v>1516716.0019839345</v>
      </c>
      <c r="M18" s="113">
        <f t="shared" si="2"/>
        <v>1516716.0019839345</v>
      </c>
      <c r="N18" s="60"/>
      <c r="AF18" s="60"/>
    </row>
    <row r="19" spans="1:32" ht="15">
      <c r="A19" s="135" t="s">
        <v>29</v>
      </c>
      <c r="B19" s="136"/>
      <c r="C19" s="137">
        <f>SUM(C13:C18)</f>
        <v>2014732.2</v>
      </c>
      <c r="D19" s="137">
        <f>SUM(D13:D18)</f>
        <v>6503636.2000000002</v>
      </c>
      <c r="E19" s="137">
        <f>SUM(E13:E18)</f>
        <v>4018500.469173349</v>
      </c>
      <c r="F19" s="137">
        <f>SUM(F13:F18)</f>
        <v>3033432.0039678691</v>
      </c>
      <c r="G19" s="137">
        <f>SUM(G13:G18)</f>
        <v>3033432.0039678691</v>
      </c>
      <c r="H19" s="137">
        <f>SUM(H13:H18)</f>
        <v>3033432.0039678691</v>
      </c>
      <c r="I19" s="137">
        <f>SUM(I13:I18)</f>
        <v>3033432.0039678691</v>
      </c>
      <c r="J19" s="137">
        <f>SUM(J13:J18)</f>
        <v>3033432.0039678691</v>
      </c>
      <c r="K19" s="137">
        <f>SUM(K13:K18)</f>
        <v>3033432.0039678691</v>
      </c>
      <c r="L19" s="137">
        <f>SUM(L13:L18)</f>
        <v>3033432.0039678691</v>
      </c>
      <c r="M19" s="137">
        <f>SUM(M13:M18)</f>
        <v>3033432.0039678691</v>
      </c>
      <c r="N19" s="55"/>
      <c r="AF19" s="60"/>
    </row>
    <row r="20" spans="1:32" ht="15">
      <c r="A20" s="54"/>
      <c r="B20" s="113"/>
      <c r="C20" s="140"/>
      <c r="D20" s="140"/>
      <c r="E20" s="140"/>
      <c r="F20" s="140"/>
      <c r="G20" s="140"/>
      <c r="H20" s="140"/>
      <c r="I20" s="140"/>
      <c r="J20" s="140"/>
      <c r="K20" s="140"/>
      <c r="L20" s="140"/>
      <c r="M20" s="140"/>
      <c r="N20" s="55"/>
      <c r="AF20" s="60"/>
    </row>
    <row r="21" spans="1:32" ht="15">
      <c r="A21" s="54" t="s">
        <v>501</v>
      </c>
      <c r="B21" s="113"/>
      <c r="C21" s="140">
        <f>C9-C19</f>
        <v>7985267.7999999998</v>
      </c>
      <c r="D21" s="140">
        <f>D9-D19</f>
        <v>-6503636.2000000002</v>
      </c>
      <c r="E21" s="140">
        <f>E9-E19</f>
        <v>3624989.7471167878</v>
      </c>
      <c r="F21" s="140">
        <f>F9-F19</f>
        <v>8890877.1480401643</v>
      </c>
      <c r="G21" s="140">
        <f>G9-G19</f>
        <v>13033722.84199496</v>
      </c>
      <c r="H21" s="140">
        <f>H9-H19</f>
        <v>17546808.114283185</v>
      </c>
      <c r="I21" s="140">
        <f>I9-I19</f>
        <v>22456130.847945984</v>
      </c>
      <c r="J21" s="140">
        <f>J9-J19</f>
        <v>27789331.690807957</v>
      </c>
      <c r="K21" s="140">
        <f>K9-K19</f>
        <v>33575791.861773878</v>
      </c>
      <c r="L21" s="140">
        <f>L9-L19</f>
        <v>39846736.561599754</v>
      </c>
      <c r="M21" s="140">
        <f>M9-M19</f>
        <v>46635344.300822273</v>
      </c>
      <c r="N21" s="55"/>
      <c r="AF21" s="60"/>
    </row>
    <row r="22" spans="1:32">
      <c r="A22" s="13" t="s">
        <v>110</v>
      </c>
      <c r="B22" s="113"/>
      <c r="C22" s="113">
        <v>1307824</v>
      </c>
      <c r="D22" s="113">
        <v>1307824</v>
      </c>
      <c r="E22" s="113">
        <v>1307824</v>
      </c>
      <c r="F22" s="113">
        <v>1307824</v>
      </c>
      <c r="G22" s="113">
        <v>1307824</v>
      </c>
      <c r="H22" s="113">
        <v>1307824</v>
      </c>
      <c r="I22" s="113">
        <v>1307824</v>
      </c>
      <c r="J22" s="113">
        <v>1307824</v>
      </c>
      <c r="K22" s="113">
        <v>1307824</v>
      </c>
      <c r="L22" s="113">
        <v>1307824</v>
      </c>
      <c r="M22" s="113">
        <v>1307824</v>
      </c>
      <c r="N22" s="60"/>
      <c r="AF22" s="60"/>
    </row>
    <row r="23" spans="1:32">
      <c r="A23" s="13" t="s">
        <v>502</v>
      </c>
      <c r="B23" s="113"/>
      <c r="C23" s="113">
        <f>C21-C22</f>
        <v>6677443.7999999998</v>
      </c>
      <c r="D23" s="113">
        <f t="shared" ref="D23:M23" si="3">D21-D22</f>
        <v>-7811460.2000000002</v>
      </c>
      <c r="E23" s="113">
        <f t="shared" si="3"/>
        <v>2317165.7471167878</v>
      </c>
      <c r="F23" s="113">
        <f t="shared" si="3"/>
        <v>7583053.1480401643</v>
      </c>
      <c r="G23" s="113">
        <f t="shared" si="3"/>
        <v>11725898.84199496</v>
      </c>
      <c r="H23" s="113">
        <f t="shared" si="3"/>
        <v>16238984.114283185</v>
      </c>
      <c r="I23" s="113">
        <f t="shared" si="3"/>
        <v>21148306.847945984</v>
      </c>
      <c r="J23" s="113">
        <f t="shared" si="3"/>
        <v>26481507.690807957</v>
      </c>
      <c r="K23" s="113">
        <f t="shared" si="3"/>
        <v>32267967.861773878</v>
      </c>
      <c r="L23" s="113">
        <f t="shared" si="3"/>
        <v>38538912.561599754</v>
      </c>
      <c r="M23" s="113">
        <f t="shared" si="3"/>
        <v>45327520.300822273</v>
      </c>
      <c r="N23" s="60"/>
      <c r="AF23" s="60"/>
    </row>
    <row r="24" spans="1:32">
      <c r="A24" s="13" t="s">
        <v>503</v>
      </c>
      <c r="B24" s="113"/>
      <c r="C24" s="113">
        <f>C23*'Price Calculations, Assumptions'!$J$10</f>
        <v>2270330.892</v>
      </c>
      <c r="D24" s="113">
        <f>D23*'Price Calculations, Assumptions'!$J$10</f>
        <v>-2655896.4680000003</v>
      </c>
      <c r="E24" s="113">
        <f>E23*'Price Calculations, Assumptions'!$J$10</f>
        <v>787836.35401970788</v>
      </c>
      <c r="F24" s="113">
        <f>F23*'Price Calculations, Assumptions'!$J$10</f>
        <v>2578238.0703336559</v>
      </c>
      <c r="G24" s="113">
        <f>G23*'Price Calculations, Assumptions'!$J$10</f>
        <v>3986805.6062782868</v>
      </c>
      <c r="H24" s="113">
        <f>H23*'Price Calculations, Assumptions'!$J$10</f>
        <v>5521254.5988562834</v>
      </c>
      <c r="I24" s="113">
        <f>I23*'Price Calculations, Assumptions'!$J$10</f>
        <v>7190424.3283016356</v>
      </c>
      <c r="J24" s="113">
        <f>J23*'Price Calculations, Assumptions'!$J$10</f>
        <v>9003712.6148747057</v>
      </c>
      <c r="K24" s="113">
        <f>K23*'Price Calculations, Assumptions'!$J$10</f>
        <v>10971109.073003119</v>
      </c>
      <c r="L24" s="113">
        <f>L23*'Price Calculations, Assumptions'!$J$10</f>
        <v>13103230.270943917</v>
      </c>
      <c r="M24" s="113">
        <f>M23*'Price Calculations, Assumptions'!$J$10</f>
        <v>15411356.902279574</v>
      </c>
      <c r="N24" s="60"/>
      <c r="AF24" s="60"/>
    </row>
    <row r="25" spans="1:32">
      <c r="A25" s="13" t="s">
        <v>504</v>
      </c>
      <c r="B25" s="113"/>
      <c r="C25" s="113">
        <f>C23-C24</f>
        <v>4407112.9079999998</v>
      </c>
      <c r="D25" s="113">
        <f>D23-D24</f>
        <v>-5155563.7319999998</v>
      </c>
      <c r="E25" s="113">
        <f t="shared" ref="E25:M25" si="4">E23-E24</f>
        <v>1529329.3930970798</v>
      </c>
      <c r="F25" s="113">
        <f t="shared" si="4"/>
        <v>5004815.0777065083</v>
      </c>
      <c r="G25" s="113">
        <f t="shared" si="4"/>
        <v>7739093.2357166726</v>
      </c>
      <c r="H25" s="113">
        <f t="shared" si="4"/>
        <v>10717729.515426902</v>
      </c>
      <c r="I25" s="113">
        <f t="shared" si="4"/>
        <v>13957882.51964435</v>
      </c>
      <c r="J25" s="113">
        <f t="shared" si="4"/>
        <v>17477795.075933252</v>
      </c>
      <c r="K25" s="113">
        <f t="shared" si="4"/>
        <v>21296858.788770758</v>
      </c>
      <c r="L25" s="113">
        <f t="shared" si="4"/>
        <v>25435682.290655836</v>
      </c>
      <c r="M25" s="113">
        <f t="shared" si="4"/>
        <v>29916163.398542698</v>
      </c>
      <c r="N25" s="60"/>
      <c r="AF25" s="60"/>
    </row>
    <row r="26" spans="1:32">
      <c r="B26" s="113"/>
      <c r="C26" s="113"/>
      <c r="D26" s="113"/>
      <c r="E26" s="113"/>
      <c r="F26" s="113"/>
      <c r="G26" s="113"/>
      <c r="H26" s="113"/>
      <c r="I26" s="113"/>
      <c r="J26" s="113"/>
      <c r="K26" s="113"/>
      <c r="L26" s="113"/>
      <c r="M26" s="113"/>
      <c r="N26" s="60"/>
      <c r="AF26" s="60"/>
    </row>
    <row r="27" spans="1:32" ht="15">
      <c r="A27" s="54" t="s">
        <v>7</v>
      </c>
      <c r="B27" s="113"/>
      <c r="C27" s="113"/>
      <c r="D27" s="113"/>
      <c r="E27" s="113"/>
      <c r="F27" s="113"/>
      <c r="G27" s="113"/>
      <c r="H27" s="113"/>
      <c r="I27" s="113"/>
      <c r="J27" s="113"/>
      <c r="K27" s="113"/>
      <c r="L27" s="113"/>
      <c r="M27" s="113"/>
      <c r="N27" s="60"/>
      <c r="O27" s="60"/>
      <c r="P27" s="60"/>
      <c r="Q27" s="60"/>
      <c r="R27" s="60"/>
      <c r="S27" s="60"/>
      <c r="T27" s="60"/>
      <c r="U27" s="60"/>
      <c r="V27" s="60"/>
      <c r="W27" s="60"/>
      <c r="X27" s="60"/>
      <c r="Y27" s="60"/>
      <c r="Z27" s="60"/>
      <c r="AA27" s="60"/>
      <c r="AB27" s="60"/>
      <c r="AC27" s="60"/>
      <c r="AD27" s="60"/>
      <c r="AF27" s="60"/>
    </row>
    <row r="28" spans="1:32">
      <c r="A28" s="13" t="s">
        <v>8</v>
      </c>
      <c r="B28" s="113"/>
      <c r="C28" s="113">
        <f>'Data from MS project'!E3</f>
        <v>1342464</v>
      </c>
      <c r="D28" s="113"/>
      <c r="E28" s="113"/>
      <c r="F28" s="113"/>
      <c r="G28" s="113"/>
      <c r="H28" s="113"/>
      <c r="I28" s="113"/>
      <c r="J28" s="113"/>
      <c r="K28" s="113"/>
      <c r="L28" s="113"/>
      <c r="M28" s="113"/>
      <c r="N28" s="60"/>
      <c r="O28" s="60"/>
      <c r="P28" s="60"/>
      <c r="Q28" s="60"/>
      <c r="R28" s="60"/>
      <c r="S28" s="60"/>
      <c r="T28" s="60"/>
      <c r="U28" s="60"/>
      <c r="V28" s="60"/>
      <c r="W28" s="60"/>
      <c r="X28" s="60"/>
      <c r="Y28" s="60"/>
      <c r="Z28" s="60"/>
      <c r="AA28" s="60"/>
      <c r="AB28" s="60"/>
      <c r="AC28" s="60"/>
      <c r="AD28" s="60"/>
      <c r="AF28" s="60"/>
    </row>
    <row r="29" spans="1:32">
      <c r="A29" s="13" t="s">
        <v>9</v>
      </c>
      <c r="B29" s="113"/>
      <c r="C29" s="113">
        <f>'Data from MS project'!E15</f>
        <v>5670</v>
      </c>
      <c r="D29" s="113"/>
      <c r="E29" s="113"/>
      <c r="F29" s="113"/>
      <c r="G29" s="113"/>
      <c r="H29" s="113"/>
      <c r="I29" s="113"/>
      <c r="J29" s="113"/>
      <c r="K29" s="113"/>
      <c r="L29" s="113"/>
      <c r="M29" s="113"/>
      <c r="N29" s="60"/>
      <c r="O29" s="60"/>
      <c r="P29" s="60"/>
      <c r="Q29" s="60"/>
      <c r="R29" s="60"/>
      <c r="S29" s="60"/>
      <c r="T29" s="60"/>
      <c r="U29" s="60"/>
      <c r="V29" s="60"/>
      <c r="W29" s="60"/>
      <c r="X29" s="60"/>
      <c r="Y29" s="60"/>
      <c r="Z29" s="60"/>
      <c r="AA29" s="60"/>
      <c r="AB29" s="60"/>
      <c r="AC29" s="60"/>
      <c r="AD29" s="60"/>
    </row>
    <row r="30" spans="1:32">
      <c r="A30" s="13" t="s">
        <v>530</v>
      </c>
      <c r="B30" s="113"/>
      <c r="C30" s="113">
        <f>'Data from MS project'!E29</f>
        <v>18686638</v>
      </c>
      <c r="D30" s="113"/>
      <c r="E30" s="113"/>
      <c r="F30" s="113"/>
      <c r="G30" s="113"/>
      <c r="H30" s="113"/>
      <c r="I30" s="113"/>
      <c r="J30" s="113"/>
      <c r="K30" s="113"/>
      <c r="L30" s="113"/>
      <c r="M30" s="113"/>
      <c r="N30" s="60"/>
      <c r="O30" s="60"/>
      <c r="P30" s="60"/>
      <c r="Q30" s="60"/>
      <c r="R30" s="60"/>
      <c r="S30" s="60"/>
      <c r="T30" s="60"/>
      <c r="U30" s="60"/>
      <c r="V30" s="60"/>
      <c r="W30" s="60"/>
      <c r="X30" s="60"/>
      <c r="Y30" s="60"/>
      <c r="Z30" s="60"/>
      <c r="AA30" s="60"/>
      <c r="AB30" s="60"/>
      <c r="AC30" s="60"/>
      <c r="AD30" s="60"/>
    </row>
    <row r="31" spans="1:32">
      <c r="A31" s="13" t="s">
        <v>11</v>
      </c>
      <c r="B31" s="113"/>
      <c r="C31" s="113"/>
      <c r="D31" s="113">
        <v>143000</v>
      </c>
      <c r="E31" s="113"/>
      <c r="F31" s="113"/>
      <c r="G31" s="113"/>
      <c r="H31" s="113"/>
      <c r="I31" s="113"/>
      <c r="J31" s="113"/>
      <c r="K31" s="113"/>
      <c r="L31" s="113"/>
      <c r="M31" s="113"/>
      <c r="N31" s="60"/>
      <c r="O31" s="60"/>
      <c r="P31" s="60"/>
      <c r="Q31" s="60"/>
      <c r="R31" s="60"/>
      <c r="S31" s="60"/>
      <c r="T31" s="60"/>
      <c r="U31" s="60"/>
      <c r="V31" s="60"/>
      <c r="W31" s="60"/>
      <c r="X31" s="60"/>
      <c r="Y31" s="60"/>
      <c r="Z31" s="60"/>
      <c r="AA31" s="60"/>
      <c r="AB31" s="60"/>
      <c r="AC31" s="60"/>
      <c r="AD31" s="60"/>
    </row>
    <row r="32" spans="1:32">
      <c r="A32" s="13" t="s">
        <v>531</v>
      </c>
      <c r="C32" s="113">
        <v>2619164.6</v>
      </c>
    </row>
    <row r="34" spans="1:30" ht="15">
      <c r="A34" s="135" t="s">
        <v>12</v>
      </c>
      <c r="B34" s="137"/>
      <c r="C34" s="137">
        <f>SUM(C28:C32)</f>
        <v>22653936.600000001</v>
      </c>
      <c r="D34" s="137">
        <f>SUM(D28:D32)</f>
        <v>143000</v>
      </c>
      <c r="E34" s="137">
        <f>SUM(E28:E32)</f>
        <v>0</v>
      </c>
      <c r="F34" s="137">
        <f>SUM(F28:F32)</f>
        <v>0</v>
      </c>
      <c r="G34" s="137">
        <f>SUM(G28:G32)</f>
        <v>0</v>
      </c>
      <c r="H34" s="137">
        <f>SUM(H28:H32)</f>
        <v>0</v>
      </c>
      <c r="I34" s="137">
        <f>SUM(I28:I32)</f>
        <v>0</v>
      </c>
      <c r="J34" s="137">
        <f>SUM(J28:J32)</f>
        <v>0</v>
      </c>
      <c r="K34" s="137">
        <f>SUM(K28:K32)</f>
        <v>0</v>
      </c>
      <c r="L34" s="137">
        <f>SUM(L28:L32)</f>
        <v>0</v>
      </c>
      <c r="M34" s="137">
        <f>SUM(M28:M32)</f>
        <v>0</v>
      </c>
      <c r="N34" s="55"/>
      <c r="O34" s="55"/>
      <c r="P34" s="55"/>
      <c r="Q34" s="55"/>
      <c r="R34" s="55"/>
      <c r="S34" s="55"/>
      <c r="T34" s="55"/>
      <c r="U34" s="55"/>
      <c r="V34" s="55"/>
      <c r="W34" s="55"/>
      <c r="X34" s="55"/>
      <c r="Y34" s="55"/>
      <c r="Z34" s="55"/>
      <c r="AA34" s="55"/>
      <c r="AB34" s="55"/>
      <c r="AC34" s="55"/>
      <c r="AD34" s="55"/>
    </row>
    <row r="35" spans="1:30">
      <c r="A35" s="13" t="s">
        <v>532</v>
      </c>
      <c r="B35" s="113"/>
      <c r="C35" s="113">
        <f>C36+C22</f>
        <v>-16938999.692000002</v>
      </c>
      <c r="D35" s="113">
        <f t="shared" ref="D35:M35" si="5">D36+D22</f>
        <v>-3990739.7319999998</v>
      </c>
      <c r="E35" s="113">
        <f t="shared" si="5"/>
        <v>2837153.3930970798</v>
      </c>
      <c r="F35" s="113">
        <f t="shared" si="5"/>
        <v>6312639.0777065083</v>
      </c>
      <c r="G35" s="113">
        <f t="shared" si="5"/>
        <v>9046917.2357166726</v>
      </c>
      <c r="H35" s="113">
        <f t="shared" si="5"/>
        <v>12025553.515426902</v>
      </c>
      <c r="I35" s="113">
        <f t="shared" si="5"/>
        <v>15265706.51964435</v>
      </c>
      <c r="J35" s="113">
        <f t="shared" si="5"/>
        <v>18785619.075933252</v>
      </c>
      <c r="K35" s="113">
        <f t="shared" si="5"/>
        <v>22604682.788770758</v>
      </c>
      <c r="L35" s="113">
        <f t="shared" si="5"/>
        <v>26743506.290655836</v>
      </c>
      <c r="M35" s="113">
        <f t="shared" si="5"/>
        <v>31223987.398542698</v>
      </c>
      <c r="N35" s="60"/>
      <c r="O35" s="60"/>
      <c r="P35" s="60"/>
      <c r="Q35" s="60"/>
      <c r="R35" s="60"/>
      <c r="S35" s="60"/>
      <c r="T35" s="60"/>
      <c r="U35" s="60"/>
      <c r="V35" s="60"/>
      <c r="W35" s="60"/>
      <c r="X35" s="60"/>
      <c r="Y35" s="60"/>
      <c r="Z35" s="60"/>
      <c r="AA35" s="60"/>
      <c r="AB35" s="60"/>
      <c r="AC35" s="60"/>
      <c r="AD35" s="60"/>
    </row>
    <row r="36" spans="1:30">
      <c r="A36" s="13" t="s">
        <v>533</v>
      </c>
      <c r="B36" s="113"/>
      <c r="C36" s="113">
        <f t="shared" ref="C36:M36" si="6">C25-C34</f>
        <v>-18246823.692000002</v>
      </c>
      <c r="D36" s="113">
        <f t="shared" si="6"/>
        <v>-5298563.7319999998</v>
      </c>
      <c r="E36" s="113">
        <f t="shared" si="6"/>
        <v>1529329.3930970798</v>
      </c>
      <c r="F36" s="113">
        <f t="shared" si="6"/>
        <v>5004815.0777065083</v>
      </c>
      <c r="G36" s="113">
        <f t="shared" si="6"/>
        <v>7739093.2357166726</v>
      </c>
      <c r="H36" s="113">
        <f t="shared" si="6"/>
        <v>10717729.515426902</v>
      </c>
      <c r="I36" s="113">
        <f t="shared" si="6"/>
        <v>13957882.51964435</v>
      </c>
      <c r="J36" s="113">
        <f t="shared" si="6"/>
        <v>17477795.075933252</v>
      </c>
      <c r="K36" s="113">
        <f t="shared" si="6"/>
        <v>21296858.788770758</v>
      </c>
      <c r="L36" s="113">
        <f t="shared" si="6"/>
        <v>25435682.290655836</v>
      </c>
      <c r="M36" s="113">
        <f t="shared" si="6"/>
        <v>29916163.398542698</v>
      </c>
      <c r="N36" s="60"/>
      <c r="O36" s="60"/>
      <c r="P36" s="60"/>
      <c r="Q36" s="60"/>
      <c r="R36" s="60"/>
      <c r="S36" s="60"/>
      <c r="T36" s="60"/>
      <c r="U36" s="60"/>
      <c r="V36" s="60"/>
      <c r="W36" s="60"/>
      <c r="X36" s="60"/>
      <c r="Y36" s="60"/>
      <c r="Z36" s="60"/>
      <c r="AA36" s="60"/>
      <c r="AB36" s="60"/>
      <c r="AC36" s="60"/>
      <c r="AD36" s="60"/>
    </row>
    <row r="37" spans="1:30">
      <c r="A37" s="13" t="s">
        <v>534</v>
      </c>
      <c r="B37" s="113"/>
      <c r="C37" s="113">
        <f>C36+D36</f>
        <v>-23545387.424000002</v>
      </c>
      <c r="D37" s="113">
        <f t="shared" ref="D37:L37" si="7">D36+E36</f>
        <v>-3769234.33890292</v>
      </c>
      <c r="E37" s="113">
        <f t="shared" si="7"/>
        <v>6534144.4708035886</v>
      </c>
      <c r="F37" s="113">
        <f t="shared" si="7"/>
        <v>12743908.313423181</v>
      </c>
      <c r="G37" s="113">
        <f t="shared" si="7"/>
        <v>18456822.751143575</v>
      </c>
      <c r="H37" s="113">
        <f t="shared" si="7"/>
        <v>24675612.035071254</v>
      </c>
      <c r="I37" s="113">
        <f t="shared" si="7"/>
        <v>31435677.595577601</v>
      </c>
      <c r="J37" s="113">
        <f t="shared" si="7"/>
        <v>38774653.864704013</v>
      </c>
      <c r="K37" s="113">
        <f t="shared" si="7"/>
        <v>46732541.079426594</v>
      </c>
      <c r="L37" s="113">
        <f t="shared" si="7"/>
        <v>55351845.689198539</v>
      </c>
      <c r="M37" s="113"/>
      <c r="N37" s="60"/>
    </row>
    <row r="38" spans="1:30">
      <c r="A38" s="13" t="s">
        <v>535</v>
      </c>
      <c r="C38" s="113">
        <f>C35</f>
        <v>-16938999.692000002</v>
      </c>
      <c r="D38" s="113">
        <f>D35*0.49</f>
        <v>-1955462.4686799999</v>
      </c>
      <c r="E38" s="113">
        <f t="shared" ref="E38:M38" si="8">E35*0.49</f>
        <v>1390205.1626175691</v>
      </c>
      <c r="F38" s="113">
        <f t="shared" si="8"/>
        <v>3093193.1480761892</v>
      </c>
      <c r="G38" s="113">
        <f t="shared" si="8"/>
        <v>4432989.4455011692</v>
      </c>
      <c r="H38" s="113">
        <f t="shared" si="8"/>
        <v>5892521.222559182</v>
      </c>
      <c r="I38" s="113">
        <f t="shared" si="8"/>
        <v>7480196.1946257316</v>
      </c>
      <c r="J38" s="113">
        <f t="shared" si="8"/>
        <v>9204953.3472072929</v>
      </c>
      <c r="K38" s="113">
        <f t="shared" si="8"/>
        <v>11076294.56649767</v>
      </c>
      <c r="L38" s="113">
        <f t="shared" si="8"/>
        <v>13104318.082421361</v>
      </c>
      <c r="M38" s="113">
        <f t="shared" si="8"/>
        <v>15299753.825285923</v>
      </c>
      <c r="N38" s="60"/>
    </row>
    <row r="39" spans="1:30">
      <c r="E39" s="60"/>
      <c r="F39" s="60"/>
      <c r="G39" s="60"/>
      <c r="H39" s="60"/>
      <c r="I39" s="60"/>
      <c r="J39" s="60"/>
      <c r="K39" s="60"/>
      <c r="L39" s="60"/>
      <c r="M39" s="60"/>
      <c r="N39" s="60"/>
    </row>
    <row r="40" spans="1:30">
      <c r="N40" s="60"/>
    </row>
    <row r="41" spans="1:30" ht="15">
      <c r="A41" s="129" t="s">
        <v>536</v>
      </c>
      <c r="B41" s="129"/>
      <c r="C41" s="129"/>
      <c r="D41" s="129"/>
      <c r="E41" s="129"/>
      <c r="F41" s="60"/>
      <c r="G41" s="60"/>
      <c r="H41" s="60"/>
      <c r="I41" s="60"/>
      <c r="J41" s="60"/>
      <c r="K41" s="60"/>
      <c r="L41" s="60"/>
      <c r="M41" s="60"/>
      <c r="N41" s="60"/>
    </row>
    <row r="42" spans="1:30">
      <c r="A42" s="141" t="s">
        <v>32</v>
      </c>
      <c r="B42" s="138">
        <f>C35+NPV(B43,D38:M38)</f>
        <v>11021390.608457398</v>
      </c>
      <c r="C42" s="141"/>
      <c r="D42" s="138"/>
      <c r="E42" s="141"/>
      <c r="F42" s="60"/>
      <c r="G42" s="60"/>
      <c r="H42" s="60"/>
      <c r="I42" s="60"/>
      <c r="J42" s="60"/>
      <c r="K42" s="60"/>
      <c r="L42" s="60"/>
      <c r="M42" s="60"/>
      <c r="N42" s="60"/>
    </row>
    <row r="43" spans="1:30">
      <c r="A43" s="141" t="s">
        <v>511</v>
      </c>
      <c r="B43" s="142">
        <v>0.13</v>
      </c>
      <c r="C43" s="141"/>
      <c r="D43" s="142"/>
      <c r="E43" s="141"/>
      <c r="F43" s="60"/>
      <c r="G43" s="60"/>
      <c r="H43" s="60"/>
      <c r="I43" s="60"/>
      <c r="J43" s="60"/>
      <c r="K43" s="60"/>
      <c r="L43" s="60"/>
      <c r="M43" s="60"/>
      <c r="N43" s="60"/>
    </row>
    <row r="44" spans="1:30">
      <c r="A44" s="141" t="s">
        <v>512</v>
      </c>
      <c r="B44" s="142">
        <f>IRR(C35:M35)</f>
        <v>0.34820479434889218</v>
      </c>
      <c r="C44" s="141"/>
      <c r="D44" s="142"/>
      <c r="E44" s="141"/>
      <c r="F44" s="60"/>
      <c r="G44" s="60"/>
      <c r="H44" s="60"/>
      <c r="I44" s="60"/>
      <c r="J44" s="60"/>
      <c r="K44" s="60"/>
      <c r="L44" s="60"/>
      <c r="M44" s="60"/>
      <c r="N44" s="60"/>
    </row>
    <row r="45" spans="1:30">
      <c r="A45" s="141" t="s">
        <v>537</v>
      </c>
      <c r="B45" s="142"/>
      <c r="C45" s="141"/>
      <c r="D45" s="142"/>
      <c r="E45" s="141"/>
      <c r="F45" s="60"/>
      <c r="G45" s="60"/>
      <c r="H45" s="60"/>
      <c r="I45" s="60"/>
      <c r="J45" s="60"/>
      <c r="K45" s="60"/>
      <c r="L45" s="60"/>
      <c r="M45" s="60"/>
      <c r="N45" s="60"/>
    </row>
    <row r="47" spans="1:30" ht="15">
      <c r="A47" s="129" t="s">
        <v>538</v>
      </c>
      <c r="B47" s="129"/>
      <c r="C47" s="129"/>
      <c r="D47" s="129"/>
      <c r="E47" s="129"/>
      <c r="F47" s="129"/>
      <c r="G47" s="129"/>
      <c r="H47" s="129"/>
      <c r="I47" s="129"/>
      <c r="J47" s="129"/>
      <c r="K47" s="129"/>
      <c r="L47" s="129"/>
      <c r="M47" s="129"/>
    </row>
    <row r="48" spans="1:30">
      <c r="A48" s="143" t="s">
        <v>539</v>
      </c>
      <c r="B48" s="138">
        <v>10000000</v>
      </c>
      <c r="C48" s="142"/>
      <c r="D48" s="141"/>
      <c r="E48" s="141"/>
      <c r="F48" s="141"/>
      <c r="G48" s="141"/>
      <c r="H48" s="141"/>
      <c r="I48" s="141"/>
      <c r="J48" s="141"/>
      <c r="K48" s="141"/>
      <c r="L48" s="141"/>
      <c r="M48" s="141"/>
    </row>
    <row r="49" spans="1:13" ht="44.45" customHeight="1">
      <c r="A49" s="143" t="s">
        <v>540</v>
      </c>
      <c r="B49" s="138"/>
      <c r="C49" s="142"/>
      <c r="D49" s="141"/>
      <c r="E49" s="141"/>
      <c r="F49" s="141"/>
      <c r="G49" s="141"/>
      <c r="H49" s="141"/>
      <c r="I49" s="141"/>
      <c r="J49" s="141"/>
      <c r="K49" s="141"/>
      <c r="L49" s="141"/>
      <c r="M49" s="141"/>
    </row>
    <row r="50" spans="1:13">
      <c r="A50" s="141" t="s">
        <v>541</v>
      </c>
      <c r="B50" s="141">
        <v>1.7</v>
      </c>
      <c r="C50" s="141"/>
      <c r="D50" s="141"/>
      <c r="E50" s="141"/>
      <c r="F50" s="141"/>
      <c r="G50" s="141"/>
      <c r="H50" s="141"/>
      <c r="I50" s="141"/>
      <c r="J50" s="141"/>
      <c r="K50" s="141"/>
      <c r="L50" s="141"/>
      <c r="M50" s="141"/>
    </row>
    <row r="51" spans="1:13" ht="13.15" customHeight="1">
      <c r="A51" s="141" t="s">
        <v>542</v>
      </c>
      <c r="B51" s="138">
        <f>SUM(C34:D34)</f>
        <v>22796936.600000001</v>
      </c>
      <c r="C51" s="141"/>
      <c r="D51" s="141"/>
      <c r="E51" s="141"/>
      <c r="F51" s="141"/>
      <c r="G51" s="141"/>
      <c r="H51" s="141"/>
      <c r="I51" s="141"/>
      <c r="J51" s="141"/>
      <c r="K51" s="141"/>
      <c r="L51" s="141"/>
      <c r="M51" s="141"/>
    </row>
    <row r="52" spans="1:13">
      <c r="A52" s="141" t="s">
        <v>543</v>
      </c>
      <c r="B52" s="144">
        <v>4.5100000000000001E-2</v>
      </c>
      <c r="C52" s="141"/>
      <c r="D52" s="141"/>
      <c r="E52" s="141"/>
      <c r="F52" s="141"/>
      <c r="G52" s="141"/>
      <c r="H52" s="141"/>
      <c r="I52" s="141"/>
      <c r="J52" s="141"/>
      <c r="K52" s="141"/>
      <c r="L52" s="141"/>
      <c r="M52" s="141"/>
    </row>
    <row r="53" spans="1:13">
      <c r="A53" s="141" t="s">
        <v>544</v>
      </c>
      <c r="B53" s="145">
        <f>PMT(B52,10,B48,0)</f>
        <v>-1264409.6705769075</v>
      </c>
      <c r="C53" s="141"/>
      <c r="D53" s="141"/>
      <c r="E53" s="141"/>
      <c r="F53" s="141"/>
      <c r="G53" s="141"/>
      <c r="H53" s="141"/>
      <c r="I53" s="141"/>
      <c r="J53" s="141"/>
      <c r="K53" s="141"/>
      <c r="L53" s="141"/>
      <c r="M53" s="141"/>
    </row>
    <row r="54" spans="1:13">
      <c r="A54" s="141" t="s">
        <v>545</v>
      </c>
      <c r="B54" s="146"/>
      <c r="C54" s="146">
        <f t="shared" ref="C54:M54" si="9">-C38/$B$53</f>
        <v>-13.396765372943808</v>
      </c>
      <c r="D54" s="146">
        <f t="shared" si="9"/>
        <v>-1.5465418480924686</v>
      </c>
      <c r="E54" s="146">
        <f t="shared" si="9"/>
        <v>1.0994895048400455</v>
      </c>
      <c r="F54" s="146">
        <f t="shared" si="9"/>
        <v>2.4463535988813416</v>
      </c>
      <c r="G54" s="146">
        <f t="shared" si="9"/>
        <v>3.5059755937160348</v>
      </c>
      <c r="H54" s="146">
        <f t="shared" si="9"/>
        <v>4.6602943331417448</v>
      </c>
      <c r="I54" s="146">
        <f t="shared" si="9"/>
        <v>5.9159593355631097</v>
      </c>
      <c r="J54" s="146">
        <f t="shared" si="9"/>
        <v>7.2800402918520728</v>
      </c>
      <c r="K54" s="146">
        <f t="shared" si="9"/>
        <v>8.760052081414349</v>
      </c>
      <c r="L54" s="146">
        <f t="shared" si="9"/>
        <v>10.363981221720886</v>
      </c>
      <c r="M54" s="146">
        <f t="shared" si="9"/>
        <v>12.100313831279985</v>
      </c>
    </row>
    <row r="55" spans="1:13">
      <c r="A55" s="141" t="s">
        <v>546</v>
      </c>
      <c r="B55" s="141"/>
      <c r="C55" s="141"/>
      <c r="D55" s="141"/>
      <c r="E55" s="141"/>
      <c r="F55" s="141"/>
      <c r="G55" s="141"/>
      <c r="H55" s="141"/>
      <c r="I55" s="141"/>
      <c r="J55" s="141"/>
      <c r="K55" s="141"/>
      <c r="L55" s="141"/>
      <c r="M55" s="141"/>
    </row>
    <row r="56" spans="1:13">
      <c r="A56" s="141" t="s">
        <v>547</v>
      </c>
      <c r="B56" s="145">
        <f>PMT(B52,8,B48,0)</f>
        <v>-1516716.0019839345</v>
      </c>
      <c r="C56" s="141"/>
      <c r="D56" s="141"/>
      <c r="E56" s="141"/>
      <c r="F56" s="141"/>
      <c r="G56" s="141"/>
      <c r="H56" s="141"/>
      <c r="I56" s="141"/>
      <c r="J56" s="141"/>
      <c r="K56" s="141"/>
      <c r="L56" s="141"/>
      <c r="M56" s="141"/>
    </row>
    <row r="57" spans="1:13">
      <c r="A57" s="141" t="s">
        <v>548</v>
      </c>
      <c r="B57" s="141"/>
      <c r="C57" s="141"/>
      <c r="D57" s="146"/>
      <c r="E57" s="146">
        <f t="shared" ref="E57:M57" si="10">-E38/$B$56</f>
        <v>0.91658897301743802</v>
      </c>
      <c r="F57" s="146">
        <f>-F38/$B$56</f>
        <v>2.0394016704710372</v>
      </c>
      <c r="G57" s="146">
        <f t="shared" si="10"/>
        <v>2.9227551101871505</v>
      </c>
      <c r="H57" s="146">
        <f t="shared" si="10"/>
        <v>3.8850524520421041</v>
      </c>
      <c r="I57" s="146">
        <f t="shared" si="10"/>
        <v>4.9318370643161211</v>
      </c>
      <c r="J57" s="146">
        <f t="shared" si="10"/>
        <v>6.0690025918937947</v>
      </c>
      <c r="K57" s="146">
        <f t="shared" si="10"/>
        <v>7.3028138108976011</v>
      </c>
      <c r="L57" s="146">
        <f t="shared" si="10"/>
        <v>8.6399286783289071</v>
      </c>
      <c r="M57" s="146">
        <f t="shared" si="10"/>
        <v>10.087421643388174</v>
      </c>
    </row>
    <row r="58" spans="1:13" ht="231">
      <c r="A58" s="143" t="s">
        <v>549</v>
      </c>
      <c r="B58" s="141"/>
      <c r="C58" s="141"/>
      <c r="D58" s="146"/>
      <c r="E58" s="146"/>
      <c r="F58" s="146"/>
      <c r="G58" s="146"/>
      <c r="H58" s="146"/>
      <c r="I58" s="146"/>
      <c r="J58" s="146"/>
      <c r="K58" s="146"/>
      <c r="L58" s="146"/>
      <c r="M58" s="146"/>
    </row>
    <row r="59" spans="1:13">
      <c r="A59" s="141"/>
      <c r="B59" s="141"/>
      <c r="C59" s="141"/>
      <c r="D59" s="146"/>
      <c r="E59" s="146"/>
      <c r="F59" s="146"/>
      <c r="G59" s="146"/>
      <c r="H59" s="146"/>
      <c r="I59" s="146"/>
      <c r="J59" s="146"/>
      <c r="K59" s="146"/>
      <c r="L59" s="146"/>
      <c r="M59" s="146"/>
    </row>
    <row r="61" spans="1:13" ht="15">
      <c r="A61" s="129" t="s">
        <v>550</v>
      </c>
      <c r="B61" s="129"/>
    </row>
    <row r="62" spans="1:13">
      <c r="A62" s="141" t="s">
        <v>551</v>
      </c>
      <c r="B62" s="138">
        <f>B51-B48</f>
        <v>12796936.600000001</v>
      </c>
    </row>
    <row r="63" spans="1:13">
      <c r="A63" s="141" t="s">
        <v>552</v>
      </c>
      <c r="B63" s="144">
        <f>B43+(B48/B62)*(B43-B52)</f>
        <v>0.19634400298583959</v>
      </c>
    </row>
    <row r="64" spans="1:13">
      <c r="A64" s="141" t="s">
        <v>518</v>
      </c>
      <c r="B64" s="144">
        <f>((B63*B62)/B51)+((B52*B48)/(B51)*(1-B65))</f>
        <v>0.12327365765451136</v>
      </c>
    </row>
    <row r="65" spans="1:2">
      <c r="A65" s="141" t="s">
        <v>553</v>
      </c>
      <c r="B65" s="144">
        <v>0.34</v>
      </c>
    </row>
    <row r="66" spans="1:2">
      <c r="A66" s="141" t="s">
        <v>32</v>
      </c>
      <c r="B66" s="138">
        <f>C38+NPV(B64,D38:M38)</f>
        <v>12245409.185829345</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D9687-DBFD-466A-8927-C042730A9B67}">
  <dimension ref="B1:H18"/>
  <sheetViews>
    <sheetView tabSelected="1" zoomScale="80" zoomScaleNormal="80" workbookViewId="0">
      <selection activeCell="U7" sqref="U7"/>
    </sheetView>
  </sheetViews>
  <sheetFormatPr defaultRowHeight="14.25"/>
  <cols>
    <col min="1" max="1" width="9.140625" style="13"/>
    <col min="2" max="2" width="8.85546875" style="13" hidden="1" customWidth="1"/>
    <col min="3" max="3" width="15.5703125" style="13" hidden="1" customWidth="1"/>
    <col min="4" max="4" width="22" style="13" hidden="1" customWidth="1"/>
    <col min="5" max="5" width="27.5703125" style="13" hidden="1" customWidth="1"/>
    <col min="6" max="6" width="15.5703125" style="13" hidden="1" customWidth="1"/>
    <col min="7" max="7" width="21.5703125" style="13" hidden="1" customWidth="1"/>
    <col min="8" max="8" width="16.28515625" style="13" hidden="1" customWidth="1"/>
    <col min="9" max="16384" width="9.140625" style="13"/>
  </cols>
  <sheetData>
    <row r="1" spans="2:8">
      <c r="F1" s="60"/>
      <c r="G1" s="60"/>
      <c r="H1" s="60"/>
    </row>
    <row r="2" spans="2:8">
      <c r="B2" s="13" t="s">
        <v>522</v>
      </c>
      <c r="C2" s="13" t="s">
        <v>1</v>
      </c>
      <c r="D2" s="13" t="s">
        <v>533</v>
      </c>
      <c r="E2" s="13" t="s">
        <v>535</v>
      </c>
      <c r="F2" s="13" t="s">
        <v>554</v>
      </c>
      <c r="G2" s="13" t="s">
        <v>555</v>
      </c>
      <c r="H2" s="13" t="s">
        <v>556</v>
      </c>
    </row>
    <row r="3" spans="2:8">
      <c r="B3" s="13">
        <v>2024</v>
      </c>
      <c r="C3" s="147">
        <f>'Cash flow'!C$35</f>
        <v>-16938999.692000002</v>
      </c>
      <c r="D3" s="113">
        <f>'Cash flow'!C$36</f>
        <v>-18246823.692000002</v>
      </c>
      <c r="E3" s="113">
        <f>'Cash flow'!C$38</f>
        <v>-16938999.692000002</v>
      </c>
      <c r="F3" s="148">
        <f>C3/C14</f>
        <v>-0.13669740917584325</v>
      </c>
      <c r="G3" s="148">
        <f>D3/D14</f>
        <v>-0.1665920756313973</v>
      </c>
      <c r="H3" s="148">
        <f t="shared" ref="H3" si="0">E3/E14</f>
        <v>-0.32524984216972319</v>
      </c>
    </row>
    <row r="4" spans="2:8">
      <c r="B4" s="13">
        <v>2025</v>
      </c>
      <c r="C4" s="147">
        <f>'Cash flow'!D$35</f>
        <v>-3990739.7319999998</v>
      </c>
      <c r="D4" s="113">
        <f>'Cash flow'!D$36</f>
        <v>-5298563.7319999998</v>
      </c>
      <c r="E4" s="113">
        <f>'Cash flow'!D$38</f>
        <v>-1955462.4686799999</v>
      </c>
      <c r="F4" s="148">
        <f>F3+(C4/$C$14)</f>
        <v>-0.16890260381417485</v>
      </c>
      <c r="G4" s="148">
        <f>G3+(D4/$D$14)</f>
        <v>-0.21496754880298971</v>
      </c>
      <c r="H4" s="148">
        <f>H3+(E4/$E$14)</f>
        <v>-0.36279715138936769</v>
      </c>
    </row>
    <row r="5" spans="2:8">
      <c r="B5" s="13">
        <v>2026</v>
      </c>
      <c r="C5" s="147">
        <f>'Cash flow'!E$35</f>
        <v>2837153.3930970798</v>
      </c>
      <c r="D5" s="113">
        <f>'Cash flow'!E$36</f>
        <v>1529329.3930970798</v>
      </c>
      <c r="E5" s="113">
        <f>'Cash flow'!E$38</f>
        <v>1390205.1626175691</v>
      </c>
      <c r="F5" s="148">
        <f t="shared" ref="F5:F13" si="1">F4+(C5/$C$14)</f>
        <v>-0.14600682925117101</v>
      </c>
      <c r="G5" s="148">
        <f>G4+(D5/$D$14)</f>
        <v>-0.20100489085108278</v>
      </c>
      <c r="H5" s="148">
        <f t="shared" ref="H5:H13" si="2">H4+(E5/$E$14)</f>
        <v>-0.33610348482424884</v>
      </c>
    </row>
    <row r="6" spans="2:8">
      <c r="B6" s="13">
        <v>2027</v>
      </c>
      <c r="C6" s="147">
        <f>'Cash flow'!F$35</f>
        <v>6312639.0777065083</v>
      </c>
      <c r="D6" s="113">
        <f>'Cash flow'!F$36</f>
        <v>5004815.0777065083</v>
      </c>
      <c r="E6" s="113">
        <f>'Cash flow'!F$38</f>
        <v>3093193.1480761892</v>
      </c>
      <c r="F6" s="148">
        <f t="shared" si="1"/>
        <v>-9.5063950528987223E-2</v>
      </c>
      <c r="G6" s="148">
        <f>G5+(D6/$D$14)</f>
        <v>-0.1553113199578654</v>
      </c>
      <c r="H6" s="148">
        <f t="shared" si="2"/>
        <v>-0.27671033283739366</v>
      </c>
    </row>
    <row r="7" spans="2:8">
      <c r="B7" s="13">
        <v>2028</v>
      </c>
      <c r="C7" s="147">
        <f>'Cash flow'!G$35</f>
        <v>9046917.2357166726</v>
      </c>
      <c r="D7" s="113">
        <f>'Cash flow'!G$36</f>
        <v>7739093.2357166726</v>
      </c>
      <c r="E7" s="113">
        <f>'Cash flow'!G$38</f>
        <v>4432989.4455011692</v>
      </c>
      <c r="F7" s="148">
        <f t="shared" si="1"/>
        <v>-2.2055498457592582E-2</v>
      </c>
      <c r="G7" s="148">
        <f>G6+(D7/$D$14)</f>
        <v>-8.4654002969144465E-2</v>
      </c>
      <c r="H7" s="148">
        <f t="shared" si="2"/>
        <v>-0.19159142713422778</v>
      </c>
    </row>
    <row r="8" spans="2:8">
      <c r="B8" s="13">
        <v>2029</v>
      </c>
      <c r="C8" s="147">
        <f>'Cash flow'!H$35</f>
        <v>12025553.515426902</v>
      </c>
      <c r="D8" s="113">
        <f>'Cash flow'!H$36</f>
        <v>10717729.515426902</v>
      </c>
      <c r="E8" s="113">
        <f>'Cash flow'!H$38</f>
        <v>5892521.222559182</v>
      </c>
      <c r="F8" s="148">
        <f t="shared" si="1"/>
        <v>7.4990492412852938E-2</v>
      </c>
      <c r="G8" s="148">
        <f>G7+(D8/$D$14)</f>
        <v>1.3198030687193968E-2</v>
      </c>
      <c r="H8" s="148">
        <f t="shared" si="2"/>
        <v>-7.8447697724735685E-2</v>
      </c>
    </row>
    <row r="9" spans="2:8">
      <c r="B9" s="13">
        <v>2030</v>
      </c>
      <c r="C9" s="147">
        <f>'Cash flow'!I$35</f>
        <v>15265706.51964435</v>
      </c>
      <c r="D9" s="113">
        <f>'Cash flow'!I$36</f>
        <v>13957882.51964435</v>
      </c>
      <c r="E9" s="113">
        <f>'Cash flow'!I$38</f>
        <v>7480196.1946257316</v>
      </c>
      <c r="F9" s="148">
        <f t="shared" si="1"/>
        <v>0.19818445713437738</v>
      </c>
      <c r="G9" s="148">
        <f>G8+(D9/$D$14)</f>
        <v>0.14063240828718276</v>
      </c>
      <c r="H9" s="148">
        <f t="shared" si="2"/>
        <v>6.5181363963577307E-2</v>
      </c>
    </row>
    <row r="10" spans="2:8">
      <c r="B10" s="13">
        <v>2031</v>
      </c>
      <c r="C10" s="147">
        <f>'Cash flow'!J$35</f>
        <v>18785619.075933252</v>
      </c>
      <c r="D10" s="113">
        <f>'Cash flow'!J$36</f>
        <v>17477795.075933252</v>
      </c>
      <c r="E10" s="113">
        <f>'Cash flow'!J$38</f>
        <v>9204953.3472072929</v>
      </c>
      <c r="F10" s="148">
        <f t="shared" si="1"/>
        <v>0.34978405003461049</v>
      </c>
      <c r="G10" s="148">
        <f>G9+(D10/$D$14)</f>
        <v>0.3002033126981517</v>
      </c>
      <c r="H10" s="148">
        <f t="shared" si="2"/>
        <v>0.24192790613234594</v>
      </c>
    </row>
    <row r="11" spans="2:8">
      <c r="B11" s="13">
        <v>2032</v>
      </c>
      <c r="C11" s="147">
        <f>'Cash flow'!K$35</f>
        <v>22604682.788770758</v>
      </c>
      <c r="D11" s="113">
        <f>'Cash flow'!K$36</f>
        <v>21296858.788770758</v>
      </c>
      <c r="E11" s="113">
        <f>'Cash flow'!K$38</f>
        <v>11076294.56649767</v>
      </c>
      <c r="F11" s="148">
        <f t="shared" si="1"/>
        <v>0.53220341532488158</v>
      </c>
      <c r="G11" s="148">
        <f>G10+(D11/$D$14)</f>
        <v>0.49464197062224813</v>
      </c>
      <c r="H11" s="148">
        <f t="shared" si="2"/>
        <v>0.45460652500499155</v>
      </c>
    </row>
    <row r="12" spans="2:8">
      <c r="B12" s="13">
        <v>2033</v>
      </c>
      <c r="C12" s="147">
        <f>'Cash flow'!L$35</f>
        <v>26743506.290655836</v>
      </c>
      <c r="D12" s="113">
        <f>'Cash flow'!L$36</f>
        <v>25435682.290655836</v>
      </c>
      <c r="E12" s="113">
        <f>'Cash flow'!L$38</f>
        <v>13104318.082421361</v>
      </c>
      <c r="F12" s="148">
        <f t="shared" si="1"/>
        <v>0.7480230084934838</v>
      </c>
      <c r="G12" s="148">
        <f>G11+(D12/$D$14)</f>
        <v>0.72686776396725294</v>
      </c>
      <c r="H12" s="148">
        <f t="shared" si="2"/>
        <v>0.7062257153673569</v>
      </c>
    </row>
    <row r="13" spans="2:8">
      <c r="B13" s="13">
        <v>2034</v>
      </c>
      <c r="C13" s="147">
        <f>'Cash flow'!M$35</f>
        <v>31223987.398542698</v>
      </c>
      <c r="D13" s="113">
        <f>'Cash flow'!M$36</f>
        <v>29916163.398542698</v>
      </c>
      <c r="E13" s="113">
        <f>'Cash flow'!M$38</f>
        <v>15299753.825285923</v>
      </c>
      <c r="F13" s="148">
        <f t="shared" si="1"/>
        <v>1</v>
      </c>
      <c r="G13" s="148">
        <f>G12+(D13/$D$14)</f>
        <v>1</v>
      </c>
      <c r="H13" s="148">
        <f t="shared" si="2"/>
        <v>1</v>
      </c>
    </row>
    <row r="14" spans="2:8">
      <c r="C14" s="147">
        <f>SUM(C3:C13)</f>
        <v>123916025.87149405</v>
      </c>
      <c r="D14" s="60">
        <f>SUM(D3:D13)</f>
        <v>109529961.87149405</v>
      </c>
      <c r="E14" s="60">
        <f>SUM(E3:E13)</f>
        <v>52079962.834112078</v>
      </c>
    </row>
    <row r="18" spans="3:3">
      <c r="C18" s="147"/>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FC2DD-E27E-4DEB-B1FD-450C9B7B94DE}">
  <dimension ref="A1:N22"/>
  <sheetViews>
    <sheetView workbookViewId="0">
      <selection activeCell="I20" sqref="A1:XFD1048576"/>
    </sheetView>
  </sheetViews>
  <sheetFormatPr defaultColWidth="8.42578125" defaultRowHeight="14.25"/>
  <cols>
    <col min="1" max="1" width="33.7109375" style="13" customWidth="1"/>
    <col min="2" max="2" width="15" style="13" hidden="1" customWidth="1"/>
    <col min="3" max="3" width="15" style="13" bestFit="1" customWidth="1"/>
    <col min="4" max="4" width="14.7109375" style="13" customWidth="1"/>
    <col min="5" max="6" width="18" style="13" bestFit="1" customWidth="1"/>
    <col min="7" max="7" width="19" style="13" bestFit="1" customWidth="1"/>
    <col min="8" max="13" width="19.140625" style="13" bestFit="1" customWidth="1"/>
    <col min="14" max="16384" width="8.42578125" style="13"/>
  </cols>
  <sheetData>
    <row r="1" spans="1:14">
      <c r="N1" s="149">
        <v>0.02</v>
      </c>
    </row>
    <row r="2" spans="1:14" hidden="1">
      <c r="B2" s="13">
        <v>1</v>
      </c>
      <c r="C2" s="13">
        <v>2</v>
      </c>
      <c r="D2" s="13">
        <v>3</v>
      </c>
      <c r="E2" s="13">
        <v>4</v>
      </c>
      <c r="F2" s="13">
        <v>5</v>
      </c>
      <c r="G2" s="13">
        <v>6</v>
      </c>
      <c r="H2" s="13">
        <v>7</v>
      </c>
      <c r="I2" s="13">
        <v>8</v>
      </c>
      <c r="J2" s="13">
        <v>9</v>
      </c>
      <c r="K2" s="13">
        <v>10</v>
      </c>
      <c r="L2" s="13">
        <v>11</v>
      </c>
      <c r="M2" s="13">
        <v>12</v>
      </c>
    </row>
    <row r="3" spans="1:14">
      <c r="A3" s="150"/>
      <c r="B3" s="151">
        <v>2023</v>
      </c>
      <c r="C3" s="152">
        <v>2024</v>
      </c>
      <c r="D3" s="152">
        <v>2025</v>
      </c>
      <c r="E3" s="152">
        <v>2026</v>
      </c>
      <c r="F3" s="152">
        <v>2027</v>
      </c>
      <c r="G3" s="152">
        <v>2028</v>
      </c>
      <c r="H3" s="152">
        <v>2029</v>
      </c>
      <c r="I3" s="152">
        <v>2030</v>
      </c>
      <c r="J3" s="152">
        <v>2031</v>
      </c>
      <c r="K3" s="152">
        <v>2032</v>
      </c>
      <c r="L3" s="152">
        <v>2033</v>
      </c>
      <c r="M3" s="153">
        <v>2034</v>
      </c>
    </row>
    <row r="4" spans="1:14">
      <c r="A4" s="154" t="s">
        <v>557</v>
      </c>
      <c r="B4" s="155">
        <f t="shared" ref="B4:M4" si="0">$C$15*(1.048^B2)</f>
        <v>3668000</v>
      </c>
      <c r="C4" s="156">
        <f t="shared" si="0"/>
        <v>3844064.0000000005</v>
      </c>
      <c r="D4" s="156">
        <f t="shared" si="0"/>
        <v>4028579.0720000006</v>
      </c>
      <c r="E4" s="156">
        <f t="shared" si="0"/>
        <v>4221950.8674560012</v>
      </c>
      <c r="F4" s="156">
        <f t="shared" si="0"/>
        <v>4424604.50909389</v>
      </c>
      <c r="G4" s="156">
        <f t="shared" si="0"/>
        <v>4636985.525530397</v>
      </c>
      <c r="H4" s="156">
        <f t="shared" si="0"/>
        <v>4859560.8307558559</v>
      </c>
      <c r="I4" s="156">
        <f t="shared" si="0"/>
        <v>5092819.750632138</v>
      </c>
      <c r="J4" s="156">
        <f t="shared" si="0"/>
        <v>5337275.0986624807</v>
      </c>
      <c r="K4" s="156">
        <f t="shared" si="0"/>
        <v>5593464.3033982804</v>
      </c>
      <c r="L4" s="157">
        <f t="shared" si="0"/>
        <v>5861950.5899613975</v>
      </c>
      <c r="M4" s="158">
        <f t="shared" si="0"/>
        <v>6143324.2182795471</v>
      </c>
    </row>
    <row r="5" spans="1:14">
      <c r="A5" s="159" t="s">
        <v>558</v>
      </c>
      <c r="B5" s="160">
        <f t="shared" ref="B5:M5" si="1">0.1*B4</f>
        <v>366800</v>
      </c>
      <c r="C5" s="161">
        <f t="shared" si="1"/>
        <v>384406.40000000008</v>
      </c>
      <c r="D5" s="161">
        <f t="shared" si="1"/>
        <v>402857.90720000007</v>
      </c>
      <c r="E5" s="161">
        <f t="shared" si="1"/>
        <v>422195.08674560016</v>
      </c>
      <c r="F5" s="161">
        <f t="shared" si="1"/>
        <v>442460.45090938901</v>
      </c>
      <c r="G5" s="161">
        <f t="shared" si="1"/>
        <v>463698.55255303974</v>
      </c>
      <c r="H5" s="161">
        <f t="shared" si="1"/>
        <v>485956.0830755856</v>
      </c>
      <c r="I5" s="161">
        <f t="shared" si="1"/>
        <v>509281.97506321385</v>
      </c>
      <c r="J5" s="161">
        <f t="shared" si="1"/>
        <v>533727.50986624812</v>
      </c>
      <c r="K5" s="161">
        <f t="shared" si="1"/>
        <v>559346.43033982802</v>
      </c>
      <c r="L5" s="162">
        <f t="shared" si="1"/>
        <v>586195.05899613979</v>
      </c>
      <c r="M5" s="163">
        <f t="shared" si="1"/>
        <v>614332.42182795471</v>
      </c>
    </row>
    <row r="6" spans="1:14">
      <c r="A6" s="159" t="s">
        <v>559</v>
      </c>
      <c r="B6" s="164">
        <v>0.05</v>
      </c>
      <c r="C6" s="165">
        <v>0</v>
      </c>
      <c r="D6" s="165">
        <v>0</v>
      </c>
      <c r="E6" s="165">
        <f>5%</f>
        <v>0.05</v>
      </c>
      <c r="F6" s="165">
        <f>E6+2%</f>
        <v>7.0000000000000007E-2</v>
      </c>
      <c r="G6" s="165">
        <f>F6+2%</f>
        <v>9.0000000000000011E-2</v>
      </c>
      <c r="H6" s="165">
        <f t="shared" ref="H6:M6" si="2">G6+2%</f>
        <v>0.11000000000000001</v>
      </c>
      <c r="I6" s="165">
        <f>H6+2%</f>
        <v>0.13</v>
      </c>
      <c r="J6" s="165">
        <f t="shared" si="2"/>
        <v>0.15</v>
      </c>
      <c r="K6" s="165">
        <f t="shared" si="2"/>
        <v>0.16999999999999998</v>
      </c>
      <c r="L6" s="166">
        <f>K6+2%</f>
        <v>0.18999999999999997</v>
      </c>
      <c r="M6" s="167">
        <f t="shared" si="2"/>
        <v>0.20999999999999996</v>
      </c>
    </row>
    <row r="7" spans="1:14">
      <c r="A7" s="159" t="s">
        <v>560</v>
      </c>
      <c r="B7" s="168">
        <f>B6*B4</f>
        <v>183400</v>
      </c>
      <c r="C7" s="169">
        <v>0</v>
      </c>
      <c r="D7" s="169">
        <v>0</v>
      </c>
      <c r="E7" s="170">
        <f>E6*E4</f>
        <v>211097.54337280008</v>
      </c>
      <c r="F7" s="170">
        <f t="shared" ref="F7:L7" si="3">F6*F4</f>
        <v>309722.31563657231</v>
      </c>
      <c r="G7" s="170">
        <f t="shared" si="3"/>
        <v>417328.69729773578</v>
      </c>
      <c r="H7" s="170">
        <f t="shared" si="3"/>
        <v>534551.69138314424</v>
      </c>
      <c r="I7" s="170">
        <f t="shared" si="3"/>
        <v>662066.56758217793</v>
      </c>
      <c r="J7" s="170">
        <f t="shared" si="3"/>
        <v>800591.26479937206</v>
      </c>
      <c r="K7" s="170">
        <f t="shared" si="3"/>
        <v>950888.93157770752</v>
      </c>
      <c r="L7" s="171">
        <f t="shared" si="3"/>
        <v>1113770.6120926654</v>
      </c>
      <c r="M7" s="172">
        <f>M6*M4</f>
        <v>1290098.0858387046</v>
      </c>
    </row>
    <row r="8" spans="1:14">
      <c r="A8" s="159" t="s">
        <v>561</v>
      </c>
      <c r="B8" s="160">
        <f t="shared" ref="B8:L8" si="4">B6*B5</f>
        <v>18340</v>
      </c>
      <c r="C8" s="169">
        <v>0</v>
      </c>
      <c r="D8" s="169">
        <v>0</v>
      </c>
      <c r="E8" s="161">
        <f t="shared" si="4"/>
        <v>21109.75433728001</v>
      </c>
      <c r="F8" s="161">
        <f t="shared" si="4"/>
        <v>30972.231563657235</v>
      </c>
      <c r="G8" s="161">
        <f t="shared" si="4"/>
        <v>41732.869729773585</v>
      </c>
      <c r="H8" s="161">
        <f t="shared" si="4"/>
        <v>53455.169138314421</v>
      </c>
      <c r="I8" s="161">
        <f t="shared" si="4"/>
        <v>66206.656758217796</v>
      </c>
      <c r="J8" s="161">
        <f t="shared" si="4"/>
        <v>80059.126479937215</v>
      </c>
      <c r="K8" s="161">
        <f t="shared" si="4"/>
        <v>95088.893157770755</v>
      </c>
      <c r="L8" s="162">
        <f t="shared" si="4"/>
        <v>111377.06120926654</v>
      </c>
      <c r="M8" s="163">
        <f t="shared" ref="M8" si="5">M6*M5</f>
        <v>129009.80858387047</v>
      </c>
    </row>
    <row r="9" spans="1:14">
      <c r="A9" s="159" t="s">
        <v>562</v>
      </c>
      <c r="B9" s="173">
        <f t="shared" ref="B9" si="6">(B7+B8)*250*1000000</f>
        <v>50435000000000</v>
      </c>
      <c r="C9" s="174">
        <f>(C7+C8)*250</f>
        <v>0</v>
      </c>
      <c r="D9" s="174">
        <f t="shared" ref="D9:M9" si="7">(D7+D8)*250</f>
        <v>0</v>
      </c>
      <c r="E9" s="174">
        <f t="shared" si="7"/>
        <v>58051824.427520022</v>
      </c>
      <c r="F9" s="174">
        <f t="shared" si="7"/>
        <v>85173636.800057381</v>
      </c>
      <c r="G9" s="174">
        <f t="shared" si="7"/>
        <v>114765391.75687735</v>
      </c>
      <c r="H9" s="174">
        <f t="shared" si="7"/>
        <v>147001715.13036466</v>
      </c>
      <c r="I9" s="174">
        <f t="shared" si="7"/>
        <v>182068306.08509895</v>
      </c>
      <c r="J9" s="174">
        <f t="shared" si="7"/>
        <v>220162597.81982732</v>
      </c>
      <c r="K9" s="174">
        <f t="shared" si="7"/>
        <v>261494456.18386957</v>
      </c>
      <c r="L9" s="175">
        <f t="shared" si="7"/>
        <v>306286918.32548296</v>
      </c>
      <c r="M9" s="176">
        <f t="shared" si="7"/>
        <v>354776973.60564381</v>
      </c>
    </row>
    <row r="10" spans="1:14">
      <c r="A10" s="159" t="s">
        <v>563</v>
      </c>
      <c r="B10" s="164">
        <f>0.09</f>
        <v>0.09</v>
      </c>
      <c r="C10" s="165">
        <v>0</v>
      </c>
      <c r="D10" s="165">
        <v>0</v>
      </c>
      <c r="E10" s="165">
        <f>0.09*2/12+0.14*10/12</f>
        <v>0.13166666666666668</v>
      </c>
      <c r="F10" s="165">
        <v>0.14000000000000001</v>
      </c>
      <c r="G10" s="165">
        <v>0.14000000000000001</v>
      </c>
      <c r="H10" s="165">
        <v>0.14000000000000001</v>
      </c>
      <c r="I10" s="165">
        <v>0.14000000000000001</v>
      </c>
      <c r="J10" s="165">
        <v>0.14000000000000001</v>
      </c>
      <c r="K10" s="165">
        <v>0.14000000000000001</v>
      </c>
      <c r="L10" s="166">
        <v>0.14000000000000001</v>
      </c>
      <c r="M10" s="167">
        <v>0.14000000000000001</v>
      </c>
    </row>
    <row r="11" spans="1:14">
      <c r="A11" s="177" t="s">
        <v>564</v>
      </c>
      <c r="B11" s="178">
        <f>B10*B9</f>
        <v>4539150000000</v>
      </c>
      <c r="C11" s="179">
        <f>C10*C9</f>
        <v>0</v>
      </c>
      <c r="D11" s="179">
        <f t="shared" ref="D11:M11" si="8">D10*D9</f>
        <v>0</v>
      </c>
      <c r="E11" s="179">
        <f t="shared" si="8"/>
        <v>7643490.2162901368</v>
      </c>
      <c r="F11" s="179">
        <f t="shared" si="8"/>
        <v>11924309.152008034</v>
      </c>
      <c r="G11" s="179">
        <f t="shared" si="8"/>
        <v>16067154.84596283</v>
      </c>
      <c r="H11" s="179">
        <f t="shared" si="8"/>
        <v>20580240.118251055</v>
      </c>
      <c r="I11" s="179">
        <f t="shared" si="8"/>
        <v>25489562.851913854</v>
      </c>
      <c r="J11" s="179">
        <f t="shared" si="8"/>
        <v>30822763.694775827</v>
      </c>
      <c r="K11" s="179">
        <f t="shared" si="8"/>
        <v>36609223.865741745</v>
      </c>
      <c r="L11" s="180">
        <f t="shared" si="8"/>
        <v>42880168.56556762</v>
      </c>
      <c r="M11" s="181">
        <f t="shared" si="8"/>
        <v>49668776.304790139</v>
      </c>
    </row>
    <row r="12" spans="1:14" hidden="1">
      <c r="A12" s="182" t="s">
        <v>565</v>
      </c>
      <c r="B12" s="183">
        <f t="shared" ref="B12:M12" si="9">0.49*B11</f>
        <v>2224183500000</v>
      </c>
      <c r="C12" s="184">
        <f>0.49*C11</f>
        <v>0</v>
      </c>
      <c r="D12" s="184">
        <f t="shared" si="9"/>
        <v>0</v>
      </c>
      <c r="E12" s="184">
        <f t="shared" si="9"/>
        <v>3745310.2059821668</v>
      </c>
      <c r="F12" s="184">
        <f t="shared" si="9"/>
        <v>5842911.4844839368</v>
      </c>
      <c r="G12" s="184">
        <f t="shared" si="9"/>
        <v>7872905.8745217863</v>
      </c>
      <c r="H12" s="184">
        <f t="shared" si="9"/>
        <v>10084317.657943018</v>
      </c>
      <c r="I12" s="184">
        <f t="shared" si="9"/>
        <v>12489885.797437789</v>
      </c>
      <c r="J12" s="184">
        <f t="shared" si="9"/>
        <v>15103154.210440155</v>
      </c>
      <c r="K12" s="184">
        <f t="shared" si="9"/>
        <v>17938519.694213454</v>
      </c>
      <c r="L12" s="185">
        <f t="shared" si="9"/>
        <v>21011282.597128134</v>
      </c>
      <c r="M12" s="185">
        <f t="shared" si="9"/>
        <v>24337700.38934717</v>
      </c>
    </row>
    <row r="13" spans="1:14">
      <c r="B13" s="186" t="s">
        <v>566</v>
      </c>
    </row>
    <row r="14" spans="1:14" ht="15">
      <c r="C14" s="129" t="s">
        <v>75</v>
      </c>
      <c r="D14" s="129"/>
      <c r="E14" s="129"/>
      <c r="F14" s="129"/>
      <c r="G14" s="129"/>
      <c r="H14" s="129"/>
    </row>
    <row r="15" spans="1:14">
      <c r="C15" s="187">
        <v>3500000</v>
      </c>
      <c r="D15" s="188" t="s">
        <v>567</v>
      </c>
      <c r="E15" s="141"/>
      <c r="F15" s="141"/>
      <c r="G15" s="141"/>
      <c r="H15" s="141"/>
    </row>
    <row r="16" spans="1:14">
      <c r="C16" s="141" t="s">
        <v>568</v>
      </c>
      <c r="D16" s="141"/>
      <c r="E16" s="141"/>
      <c r="F16" s="141"/>
      <c r="G16" s="141"/>
      <c r="H16" s="141"/>
    </row>
    <row r="17" spans="3:8">
      <c r="C17" s="141" t="s">
        <v>569</v>
      </c>
      <c r="D17" s="141"/>
      <c r="E17" s="141"/>
      <c r="F17" s="141"/>
      <c r="G17" s="141"/>
      <c r="H17" s="141"/>
    </row>
    <row r="18" spans="3:8">
      <c r="C18" s="141" t="s">
        <v>570</v>
      </c>
      <c r="D18" s="141"/>
      <c r="E18" s="141"/>
      <c r="F18" s="141"/>
      <c r="G18" s="141"/>
      <c r="H18" s="141"/>
    </row>
    <row r="19" spans="3:8">
      <c r="C19" s="141" t="s">
        <v>571</v>
      </c>
      <c r="D19" s="141"/>
      <c r="E19" s="141"/>
      <c r="F19" s="141"/>
      <c r="G19" s="141"/>
      <c r="H19" s="141"/>
    </row>
    <row r="20" spans="3:8">
      <c r="C20" s="141" t="s">
        <v>572</v>
      </c>
      <c r="D20" s="141"/>
      <c r="E20" s="141"/>
      <c r="F20" s="141"/>
      <c r="G20" s="141"/>
      <c r="H20" s="141"/>
    </row>
    <row r="21" spans="3:8">
      <c r="C21" s="141" t="s">
        <v>573</v>
      </c>
      <c r="D21" s="141"/>
      <c r="E21" s="141"/>
      <c r="F21" s="141"/>
      <c r="G21" s="141"/>
      <c r="H21" s="141"/>
    </row>
    <row r="22" spans="3:8">
      <c r="C22" s="141" t="s">
        <v>574</v>
      </c>
      <c r="D22" s="141"/>
      <c r="E22" s="141"/>
      <c r="F22" s="141"/>
      <c r="G22" s="141"/>
      <c r="H22" s="14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977cb6ed-b1a4-473b-8ba2-0f8e0a4901f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4F2B428C8B21A141B5825E5B86F557DB" ma:contentTypeVersion="8" ma:contentTypeDescription="Skapa ett nytt dokument." ma:contentTypeScope="" ma:versionID="b08c16d4258def3ba0246b53ca7c9bb4">
  <xsd:schema xmlns:xsd="http://www.w3.org/2001/XMLSchema" xmlns:xs="http://www.w3.org/2001/XMLSchema" xmlns:p="http://schemas.microsoft.com/office/2006/metadata/properties" xmlns:ns3="977cb6ed-b1a4-473b-8ba2-0f8e0a4901ff" xmlns:ns4="6707e3d7-8225-4321-a0ab-c333d198a7fc" targetNamespace="http://schemas.microsoft.com/office/2006/metadata/properties" ma:root="true" ma:fieldsID="7c8d6199c6dc5d7f07aa7adcba7051da" ns3:_="" ns4:_="">
    <xsd:import namespace="977cb6ed-b1a4-473b-8ba2-0f8e0a4901ff"/>
    <xsd:import namespace="6707e3d7-8225-4321-a0ab-c333d198a7fc"/>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SearchProperties" minOccurs="0"/>
                <xsd:element ref="ns3:_activity"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7cb6ed-b1a4-473b-8ba2-0f8e0a4901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_activity" ma:index="14" nillable="true" ma:displayName="_activity" ma:hidden="true" ma:internalName="_activity">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707e3d7-8225-4321-a0ab-c333d198a7fc" elementFormDefault="qualified">
    <xsd:import namespace="http://schemas.microsoft.com/office/2006/documentManagement/types"/>
    <xsd:import namespace="http://schemas.microsoft.com/office/infopath/2007/PartnerControls"/>
    <xsd:element name="SharedWithUsers" ma:index="10"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lat med information" ma:internalName="SharedWithDetails" ma:readOnly="true">
      <xsd:simpleType>
        <xsd:restriction base="dms:Note">
          <xsd:maxLength value="255"/>
        </xsd:restriction>
      </xsd:simpleType>
    </xsd:element>
    <xsd:element name="SharingHintHash" ma:index="12" nillable="true" ma:displayName="Delar tips,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16F534-4D48-4615-8298-B6BD02839F6E}"/>
</file>

<file path=customXml/itemProps2.xml><?xml version="1.0" encoding="utf-8"?>
<ds:datastoreItem xmlns:ds="http://schemas.openxmlformats.org/officeDocument/2006/customXml" ds:itemID="{A6EFCABB-59B8-492F-A390-0BD8B6355B0B}"/>
</file>

<file path=customXml/itemProps3.xml><?xml version="1.0" encoding="utf-8"?>
<ds:datastoreItem xmlns:ds="http://schemas.openxmlformats.org/officeDocument/2006/customXml" ds:itemID="{B8AB7806-6960-4EA7-B0C6-4C215D9E55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 Johansson</dc:creator>
  <cp:keywords/>
  <dc:description/>
  <cp:lastModifiedBy>martina agnese</cp:lastModifiedBy>
  <cp:revision/>
  <dcterms:created xsi:type="dcterms:W3CDTF">2023-12-11T13:12:03Z</dcterms:created>
  <dcterms:modified xsi:type="dcterms:W3CDTF">2023-12-30T20:32:59Z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0x0101004F2B428C8B21A141B5825E5B86F557DB</vt:lpwstr>
  </property>
</Properties>
</file>
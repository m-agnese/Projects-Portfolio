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97B7E681-73DE-48EB-8F7F-190E8086F602}" xr6:coauthVersionLast="47" xr6:coauthVersionMax="47" xr10:uidLastSave="{00000000-0000-0000-0000-000000000000}"/>
  <bookViews>
    <workbookView xWindow="-108" yWindow="-108" windowWidth="23256" windowHeight="12576" activeTab="3" xr2:uid="{00000000-000D-0000-FFFF-FFFF00000000}"/>
  </bookViews>
  <sheets>
    <sheet name="Sheet1" sheetId="1" r:id="rId1"/>
    <sheet name="Sheet2" sheetId="4" r:id="rId2"/>
    <sheet name="Sheet3" sheetId="3" r:id="rId3"/>
    <sheet name="risk assesmen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 l="1"/>
  <c r="J5" i="2"/>
  <c r="J7" i="2"/>
  <c r="J8" i="2"/>
  <c r="J9" i="2"/>
  <c r="J10" i="2"/>
  <c r="J6" i="2"/>
  <c r="J40" i="2"/>
  <c r="J39" i="2"/>
  <c r="J38" i="2"/>
  <c r="J37" i="2"/>
  <c r="J36" i="2"/>
  <c r="J35" i="2"/>
  <c r="J34" i="2"/>
  <c r="J33" i="2"/>
  <c r="J32" i="2"/>
  <c r="J12" i="2"/>
  <c r="J13" i="2"/>
  <c r="J14" i="2"/>
  <c r="J15" i="2"/>
  <c r="J16" i="2"/>
  <c r="J17" i="2"/>
  <c r="J18" i="2"/>
  <c r="J19" i="2"/>
  <c r="J20" i="2"/>
  <c r="J21" i="2"/>
  <c r="J22" i="2"/>
  <c r="J23" i="2"/>
  <c r="J24" i="2"/>
  <c r="J25" i="2"/>
  <c r="J26" i="2"/>
  <c r="J27" i="2"/>
  <c r="J28" i="2"/>
  <c r="J29" i="2"/>
  <c r="J30" i="2"/>
  <c r="J31" i="2"/>
  <c r="J11" i="2"/>
</calcChain>
</file>

<file path=xl/sharedStrings.xml><?xml version="1.0" encoding="utf-8"?>
<sst xmlns="http://schemas.openxmlformats.org/spreadsheetml/2006/main" count="323" uniqueCount="185">
  <si>
    <t>New environmental rule</t>
  </si>
  <si>
    <t>New foreign investment rule</t>
  </si>
  <si>
    <t>Change in economic condition</t>
  </si>
  <si>
    <t>Monsoon</t>
  </si>
  <si>
    <t>Extreme temperature</t>
  </si>
  <si>
    <t>Technological obsolescence</t>
  </si>
  <si>
    <t>Supply Chain Disruption</t>
  </si>
  <si>
    <t>Labor Shortages</t>
  </si>
  <si>
    <t>Political Instability</t>
  </si>
  <si>
    <t>Regulatory Delays</t>
  </si>
  <si>
    <t>r1</t>
  </si>
  <si>
    <t>r2</t>
  </si>
  <si>
    <t>r3</t>
  </si>
  <si>
    <t>r4</t>
  </si>
  <si>
    <t>r5</t>
  </si>
  <si>
    <t>r6</t>
  </si>
  <si>
    <t>r7</t>
  </si>
  <si>
    <t>r8</t>
  </si>
  <si>
    <t>r9</t>
  </si>
  <si>
    <t>r10</t>
  </si>
  <si>
    <t>ct1</t>
  </si>
  <si>
    <t>ct2</t>
  </si>
  <si>
    <t>ct3</t>
  </si>
  <si>
    <t>ct4</t>
  </si>
  <si>
    <t>ct5</t>
  </si>
  <si>
    <t>ct6</t>
  </si>
  <si>
    <t>ct7</t>
  </si>
  <si>
    <t>ct8</t>
  </si>
  <si>
    <t>ct9</t>
  </si>
  <si>
    <t>ct10</t>
  </si>
  <si>
    <t>ct11</t>
  </si>
  <si>
    <t>ct12</t>
  </si>
  <si>
    <t>ct13</t>
  </si>
  <si>
    <t>ct14</t>
  </si>
  <si>
    <t>ct15</t>
  </si>
  <si>
    <t>ct16</t>
  </si>
  <si>
    <t>ct17</t>
  </si>
  <si>
    <t>ct18</t>
  </si>
  <si>
    <t>Final washing station</t>
  </si>
  <si>
    <t>Installation</t>
  </si>
  <si>
    <t>FINAL LINE TESTING</t>
  </si>
  <si>
    <t>ERP Implementation</t>
  </si>
  <si>
    <t>Test</t>
  </si>
  <si>
    <t>Deploy</t>
  </si>
  <si>
    <t>Meeting to start project 3</t>
  </si>
  <si>
    <t>Deploy learning to end-users</t>
  </si>
  <si>
    <t>Conduct deployment Go/No Go decision set</t>
  </si>
  <si>
    <t>Execute production deployment</t>
  </si>
  <si>
    <t>Execute final data migration</t>
  </si>
  <si>
    <t>Run</t>
  </si>
  <si>
    <t>Develop post implementation and evaluation reports</t>
  </si>
  <si>
    <t>Conduct service delivery transition</t>
  </si>
  <si>
    <t>Track value realization</t>
  </si>
  <si>
    <t>Close project</t>
  </si>
  <si>
    <t>Meeting with Stakeholders for project 2 closure</t>
  </si>
  <si>
    <t>FINAL MEETING</t>
  </si>
  <si>
    <t>task</t>
  </si>
  <si>
    <t>risk</t>
  </si>
  <si>
    <t>probobility</t>
  </si>
  <si>
    <t>impact</t>
  </si>
  <si>
    <t>cost</t>
  </si>
  <si>
    <t>risk exposure</t>
  </si>
  <si>
    <t>risk order</t>
  </si>
  <si>
    <t>Accept / mitigate / transfer</t>
  </si>
  <si>
    <t>how?</t>
  </si>
  <si>
    <t>Mitigation Cost</t>
  </si>
  <si>
    <t>Cost after management</t>
  </si>
  <si>
    <t>Technological</t>
  </si>
  <si>
    <r>
      <t>Mitigate</t>
    </r>
    <r>
      <rPr>
        <sz val="8"/>
        <color rgb="FFFFFFFF"/>
        <rFont val="Courier New"/>
        <family val="3"/>
      </rPr>
      <t xml:space="preserve"> </t>
    </r>
  </si>
  <si>
    <t>Accept</t>
  </si>
  <si>
    <t>Transfer</t>
  </si>
  <si>
    <t>Implementing an advanced waste disposal system</t>
  </si>
  <si>
    <t>Diversify suppliers, establish backup plans</t>
  </si>
  <si>
    <t>Monitor technology trends, plan for updates</t>
  </si>
  <si>
    <t>Cross-train employees, explore additional labor sources</t>
  </si>
  <si>
    <t>Regularly update testing equipment</t>
  </si>
  <si>
    <t>Proactive engagement with regulatory authorities</t>
  </si>
  <si>
    <t>Legal consultation, compliance strategies</t>
  </si>
  <si>
    <t>Continuous technology monitoring, agile development</t>
  </si>
  <si>
    <t>Purchase insurance to cover regulatory delays</t>
  </si>
  <si>
    <t>Regular technology updates, testing protocols</t>
  </si>
  <si>
    <t>Diversify suppliers, establish contingency plans</t>
  </si>
  <si>
    <t>Regular technology updates, agile deployment</t>
  </si>
  <si>
    <t>Political risk analysis, diplomatic relations</t>
  </si>
  <si>
    <t>Regular technology updates, user training protocols</t>
  </si>
  <si>
    <t>_</t>
  </si>
  <si>
    <t>1. POLITICAL:</t>
  </si>
  <si>
    <t>Stability and changes in the Indian government can impact project regulations and approvals. The next Indian general elections will take place between April and May 2024 but the leadership of the current president Narendra Modi does not seem to be in question, so from a political point of view no upheavals are expected.</t>
  </si>
  <si>
    <t>2. ECONOMIC:</t>
  </si>
  <si>
    <t>Exchange rate fluctuations between the rupee and the dollar could affect the cost of imported goods and services.</t>
  </si>
  <si>
    <t>One of the most important factor that could impact on the exchange rate is the Inflation: the latter tends to be inversely related to any currency’s strength, indeed the higher the inflation, the weaker will be the country’s currency. Currently, as we are witnessing a period of rising inflation in India, the purchasing power of rupee is going down. Thus, we can see the rupee weakening against the dollar.</t>
  </si>
  <si>
    <t>Another important factor that could impact on the exchange rate is the interest rate. In times of escalating inflation, central banks often respond by implementing interest rate hikes to mitigate inflationary pressures. The increase in interest rates tends to make the country more appealing to foreign investors, thereby strengthening the local currency. The RBI Repurchase Rate ended 2022 at 6.50%, up from the 4.00% end-2021, highlighting a tendency towards a rapid increase in interest rates.</t>
  </si>
  <si>
    <t>3. SOCIOLOGICAL:</t>
  </si>
  <si>
    <t>The project involves team members from both India and Italy. Varied cultural norms, communication styles, and work practices may lead to misunderstandings or challenges in team collaboration. It's essential that both of the companies implement cultural sensitivity training and effective communication strategies to bridge these gaps, before the start of the project.</t>
  </si>
  <si>
    <t>4. TECHNOLOGICAL:</t>
  </si>
  <si>
    <t>Rapid technological changes may necessitate updates or changes to the project and</t>
  </si>
  <si>
    <t>dependence on specific technologies may introduce risks related to obsolescence. This is not the case for the project analyzed as the construction techniques of the plant will not vary during the life of the project, nor will the techniques for manufacturing the pieces produced by the joint venture.</t>
  </si>
  <si>
    <t>5. LEGAL:</t>
  </si>
  <si>
    <t>Given that the project will be carried out by a joint venture composed partly of Indian teams, rigorous conduct in compliance with local laws is expected, as the local lawyers of the Indian company can be used if necessary.</t>
  </si>
  <si>
    <t>6. ENVIRONMENTAL:</t>
  </si>
  <si>
    <t>Compliance with stringent environmental regulations, particularly regarding waste disposal and emissions, is crucial for legal adherence. The project must also account for climate-related challenges, such as monsoons and extreme temperatures, implementing strategies to mitigate potential risks. Aligning with India's emphasis on sustainability, incorporating eco-friendly practices and obtaining Environmental Impact Assessment (EIA) approvals are vital. Additionally, assessing the project's impact on biodiversity, engaging in community</t>
  </si>
  <si>
    <t xml:space="preserve">TOP 10 RISKS </t>
  </si>
  <si>
    <t>1) New environmental rule</t>
  </si>
  <si>
    <t>2) New foreign investment rule</t>
  </si>
  <si>
    <t>3) Change in economic condition</t>
  </si>
  <si>
    <t>4) Monsoon</t>
  </si>
  <si>
    <t>5) Extreme temperature</t>
  </si>
  <si>
    <t>6) Technological obsolescence</t>
  </si>
  <si>
    <t>7) Supply Chain Disruption</t>
  </si>
  <si>
    <t>8) Labor Shortages</t>
  </si>
  <si>
    <t>9) Political Instability</t>
  </si>
  <si>
    <t>10) Regulatory Delay</t>
  </si>
  <si>
    <t>RISKS</t>
  </si>
  <si>
    <t>direct</t>
  </si>
  <si>
    <t>indirect</t>
  </si>
  <si>
    <t>New Environmental Rule</t>
  </si>
  <si>
    <t>New Foreign Investment Rule</t>
  </si>
  <si>
    <t>Regulatory Delay</t>
  </si>
  <si>
    <t xml:space="preserve">Increased compliance expenses </t>
  </si>
  <si>
    <t xml:space="preserve">Project delays result in additional labor costs </t>
  </si>
  <si>
    <t>Legal expenses for compliance</t>
  </si>
  <si>
    <t>Potential delays in investment</t>
  </si>
  <si>
    <t>Increased material costs</t>
  </si>
  <si>
    <t>Project delays due to financial constraints</t>
  </si>
  <si>
    <t>Potential damage to materials</t>
  </si>
  <si>
    <t>Project delays due to weather disruptions</t>
  </si>
  <si>
    <t>Specialized equipment for extreme temperatures</t>
  </si>
  <si>
    <t>Potential delays in production</t>
  </si>
  <si>
    <t>Upgrading technology</t>
  </si>
  <si>
    <t>Finding alternative suppliers</t>
  </si>
  <si>
    <t>Project delays due to supply chain disruption</t>
  </si>
  <si>
    <t>Hiring temporary or specialized labor</t>
  </si>
  <si>
    <t>Potential project delays</t>
  </si>
  <si>
    <t>Increased security measures</t>
  </si>
  <si>
    <t>Project delays due to political unrest</t>
  </si>
  <si>
    <t>Legal expenses for navigating regulatory changes</t>
  </si>
  <si>
    <t>Project delays due to regulatory hurdles</t>
  </si>
  <si>
    <t>initiatives, and exploring opportunities for renewable energy integration contribute to a holistic approach. Successful navigation of these environmental considerations not only ensures regulatory compliance but also fosters positive relationships with local communities and stakeholders, ultimately enhancing the project's overall sustainability and success</t>
  </si>
  <si>
    <t>Technological Obsolescence</t>
  </si>
  <si>
    <t xml:space="preserve">Labor Shortages </t>
  </si>
  <si>
    <t xml:space="preserve">Regulatory Delays </t>
  </si>
  <si>
    <t xml:space="preserve">Supply Chain Disruption </t>
  </si>
  <si>
    <t xml:space="preserve">Political Instability </t>
  </si>
  <si>
    <t>Final Washing Station</t>
  </si>
  <si>
    <t xml:space="preserve">Final Washing Station </t>
  </si>
  <si>
    <t xml:space="preserve">Final Line Testing </t>
  </si>
  <si>
    <t xml:space="preserve">Meeting to Start Project 3 </t>
  </si>
  <si>
    <t xml:space="preserve">Deploy Learning to End-Users </t>
  </si>
  <si>
    <t>Conduct Deployment Go/No Go Decision</t>
  </si>
  <si>
    <t>Execute Production Deployment</t>
  </si>
  <si>
    <t xml:space="preserve">Execute Final Data Migration </t>
  </si>
  <si>
    <t>ON SITE ERECTION PHASE</t>
  </si>
  <si>
    <t>Mitigate</t>
  </si>
  <si>
    <t>OP.50</t>
  </si>
  <si>
    <t>Change in Economic Condition</t>
  </si>
  <si>
    <t>Implementing cost-saving measures</t>
  </si>
  <si>
    <t>Double-spindle CNC machine 5</t>
  </si>
  <si>
    <t>Regular technology updates, vendor support</t>
  </si>
  <si>
    <t>1.1.6</t>
  </si>
  <si>
    <t>1.1.6.5</t>
  </si>
  <si>
    <t>1.1.6.5.1</t>
  </si>
  <si>
    <t>1.1.6.10.1</t>
  </si>
  <si>
    <t>1.1.7</t>
  </si>
  <si>
    <t>1.2.1</t>
  </si>
  <si>
    <t>1.2.1.4</t>
  </si>
  <si>
    <t>1.2.1.5</t>
  </si>
  <si>
    <t>1.2.1.5.1</t>
  </si>
  <si>
    <t>1.2.1.5.2</t>
  </si>
  <si>
    <t>1.2.1.5.3</t>
  </si>
  <si>
    <t>1.2.1.5.4</t>
  </si>
  <si>
    <t>1.2.1.5.5</t>
  </si>
  <si>
    <t>1.2.1.6</t>
  </si>
  <si>
    <t>Develop post-implementation and evaluation reports</t>
  </si>
  <si>
    <t>1.2.1.6.1</t>
  </si>
  <si>
    <t>1.2.1.6.2</t>
  </si>
  <si>
    <t>1.2.1.6.3</t>
  </si>
  <si>
    <t>Continuous monitoring of economic conditions</t>
  </si>
  <si>
    <t>1.2.1.6.4</t>
  </si>
  <si>
    <t xml:space="preserve">Mitigate </t>
  </si>
  <si>
    <t>1.2.2</t>
  </si>
  <si>
    <t>WBS</t>
  </si>
  <si>
    <t>1.1.6.5.1.1</t>
  </si>
  <si>
    <t>Single-spindle CNC machine 3</t>
  </si>
  <si>
    <t>Regularly update technology, agile development</t>
  </si>
  <si>
    <t>1.1.6.5.3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</si>
</sst>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2]\ #,##0.00;[Red]\-[$€-2]\ #,##0.00"/>
  </numFmts>
  <fonts count="18" x14ac:knownFonts="1">
    <font>
      <sz val="11"/>
      <color theme="1"/>
      <name val="Calibri"/>
      <family val="2"/>
      <scheme val="minor"/>
    </font>
    <font>
      <sz val="11"/>
      <color rgb="FFFF0000"/>
      <name val="Calibri"/>
      <family val="2"/>
      <scheme val="minor"/>
    </font>
    <font>
      <sz val="14"/>
      <color rgb="FF000000"/>
      <name val="Times New Roman"/>
      <family val="1"/>
    </font>
    <font>
      <sz val="8"/>
      <name val="Calibri"/>
      <family val="2"/>
      <scheme val="minor"/>
    </font>
    <font>
      <sz val="8"/>
      <color rgb="FFFFFFFF"/>
      <name val="Courier New"/>
      <family val="3"/>
    </font>
    <font>
      <sz val="14"/>
      <color rgb="FFFF0000"/>
      <name val="Times New Roman"/>
      <family val="1"/>
    </font>
    <font>
      <sz val="11"/>
      <color theme="1"/>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3.5"/>
      <color rgb="FF000000"/>
      <name val="Calibri"/>
      <family val="2"/>
      <scheme val="minor"/>
    </font>
    <font>
      <sz val="36"/>
      <color rgb="FF000000"/>
      <name val="Calibri"/>
      <family val="2"/>
      <scheme val="minor"/>
    </font>
    <font>
      <sz val="13.5"/>
      <color theme="2"/>
      <name val="Times New Roman"/>
      <family val="1"/>
    </font>
    <font>
      <sz val="11"/>
      <color theme="2"/>
      <name val="Calibri"/>
      <family val="2"/>
      <scheme val="minor"/>
    </font>
    <font>
      <sz val="13.5"/>
      <color theme="0"/>
      <name val="Calibri"/>
      <family val="2"/>
      <scheme val="minor"/>
    </font>
    <font>
      <sz val="14"/>
      <color theme="1"/>
      <name val="Calibri"/>
      <family val="2"/>
      <scheme val="minor"/>
    </font>
    <font>
      <sz val="10"/>
      <color theme="1"/>
      <name val="Courier New"/>
      <family val="3"/>
    </font>
    <font>
      <sz val="11"/>
      <color rgb="FF000000"/>
      <name val="Calibri"/>
      <family val="2"/>
      <scheme val="minor"/>
    </font>
  </fonts>
  <fills count="17">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7" tint="0.39997558519241921"/>
        <bgColor indexed="64"/>
      </patternFill>
    </fill>
    <fill>
      <patternFill patternType="solid">
        <fgColor theme="8"/>
        <bgColor indexed="64"/>
      </patternFill>
    </fill>
    <fill>
      <patternFill patternType="solid">
        <fgColor theme="7"/>
        <bgColor indexed="64"/>
      </patternFill>
    </fill>
    <fill>
      <patternFill patternType="solid">
        <fgColor rgb="FFFFFF00"/>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s>
  <borders count="24">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rgb="FF00B0F0"/>
      </left>
      <right style="thin">
        <color rgb="FF00B0F0"/>
      </right>
      <top style="thin">
        <color rgb="FF00B0F0"/>
      </top>
      <bottom style="thin">
        <color rgb="FF00B0F0"/>
      </bottom>
      <diagonal/>
    </border>
    <border>
      <left style="thin">
        <color indexed="64"/>
      </left>
      <right/>
      <top style="thin">
        <color indexed="64"/>
      </top>
      <bottom style="thin">
        <color indexed="64"/>
      </bottom>
      <diagonal/>
    </border>
    <border>
      <left/>
      <right style="thin">
        <color rgb="FF3F3F3F"/>
      </right>
      <top style="thin">
        <color rgb="FF3F3F3F"/>
      </top>
      <bottom style="thin">
        <color rgb="FF3F3F3F"/>
      </bottom>
      <diagonal/>
    </border>
  </borders>
  <cellStyleXfs count="5">
    <xf numFmtId="0" fontId="0" fillId="0" borderId="0"/>
    <xf numFmtId="0" fontId="7" fillId="8" borderId="0" applyNumberFormat="0" applyBorder="0" applyAlignment="0" applyProtection="0"/>
    <xf numFmtId="0" fontId="8" fillId="9" borderId="0" applyNumberFormat="0" applyBorder="0" applyAlignment="0" applyProtection="0"/>
    <xf numFmtId="0" fontId="9" fillId="10" borderId="3" applyNumberFormat="0" applyAlignment="0" applyProtection="0"/>
    <xf numFmtId="0" fontId="6" fillId="11" borderId="4" applyNumberFormat="0" applyFont="0" applyAlignment="0" applyProtection="0"/>
  </cellStyleXfs>
  <cellXfs count="56">
    <xf numFmtId="0" fontId="0" fillId="0" borderId="0" xfId="0"/>
    <xf numFmtId="0" fontId="1" fillId="0" borderId="0" xfId="0" applyFont="1"/>
    <xf numFmtId="0" fontId="0" fillId="2" borderId="0" xfId="0" applyFill="1"/>
    <xf numFmtId="0" fontId="1" fillId="2" borderId="0" xfId="0" applyFont="1" applyFill="1"/>
    <xf numFmtId="0" fontId="2" fillId="3" borderId="0" xfId="0" applyFont="1" applyFill="1"/>
    <xf numFmtId="0" fontId="2" fillId="4" borderId="0" xfId="0" applyFont="1" applyFill="1"/>
    <xf numFmtId="0" fontId="0" fillId="5" borderId="0" xfId="0" applyFill="1"/>
    <xf numFmtId="0" fontId="5" fillId="6" borderId="0" xfId="0" applyFont="1" applyFill="1"/>
    <xf numFmtId="0" fontId="0" fillId="7" borderId="2" xfId="0" applyFill="1" applyBorder="1"/>
    <xf numFmtId="0" fontId="0" fillId="7" borderId="1" xfId="0" applyFill="1" applyBorder="1"/>
    <xf numFmtId="0" fontId="12" fillId="2" borderId="0" xfId="0" applyFont="1" applyFill="1" applyAlignment="1">
      <alignment vertical="center"/>
    </xf>
    <xf numFmtId="0" fontId="13" fillId="2" borderId="0" xfId="0" applyFont="1" applyFill="1"/>
    <xf numFmtId="0" fontId="11" fillId="12" borderId="0" xfId="0" applyFont="1" applyFill="1"/>
    <xf numFmtId="0" fontId="10" fillId="0" borderId="13" xfId="0" applyFont="1" applyBorder="1"/>
    <xf numFmtId="0" fontId="10" fillId="0" borderId="14" xfId="0" applyFont="1" applyBorder="1"/>
    <xf numFmtId="0" fontId="14" fillId="2" borderId="13" xfId="0" applyFont="1" applyFill="1" applyBorder="1"/>
    <xf numFmtId="0" fontId="10" fillId="2" borderId="14" xfId="0" applyFont="1" applyFill="1" applyBorder="1"/>
    <xf numFmtId="0" fontId="10" fillId="3" borderId="14" xfId="0" applyFont="1" applyFill="1" applyBorder="1"/>
    <xf numFmtId="0" fontId="10" fillId="3" borderId="15" xfId="0" applyFont="1" applyFill="1" applyBorder="1"/>
    <xf numFmtId="0" fontId="0" fillId="0" borderId="6" xfId="0" applyBorder="1"/>
    <xf numFmtId="0" fontId="0" fillId="0" borderId="7" xfId="0" applyBorder="1"/>
    <xf numFmtId="0" fontId="0" fillId="0" borderId="8" xfId="0" applyBorder="1"/>
    <xf numFmtId="0" fontId="0" fillId="0" borderId="9" xfId="0" applyBorder="1"/>
    <xf numFmtId="0" fontId="0" fillId="3" borderId="8" xfId="0" applyFill="1" applyBorder="1"/>
    <xf numFmtId="0" fontId="0" fillId="3" borderId="0" xfId="0" applyFill="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7" borderId="5" xfId="0" applyFill="1" applyBorder="1"/>
    <xf numFmtId="0" fontId="0" fillId="7" borderId="8" xfId="0" applyFill="1" applyBorder="1"/>
    <xf numFmtId="0" fontId="15" fillId="0" borderId="0" xfId="0" applyFont="1"/>
    <xf numFmtId="0" fontId="15" fillId="13" borderId="16" xfId="0" applyFont="1" applyFill="1" applyBorder="1"/>
    <xf numFmtId="0" fontId="15" fillId="13" borderId="17" xfId="0" applyFont="1" applyFill="1" applyBorder="1"/>
    <xf numFmtId="0" fontId="15" fillId="13" borderId="18" xfId="0" applyFont="1" applyFill="1" applyBorder="1"/>
    <xf numFmtId="8" fontId="0" fillId="0" borderId="19" xfId="0" applyNumberFormat="1" applyBorder="1"/>
    <xf numFmtId="0" fontId="0" fillId="0" borderId="19" xfId="0" applyBorder="1"/>
    <xf numFmtId="164" fontId="0" fillId="0" borderId="19" xfId="0" applyNumberFormat="1" applyBorder="1"/>
    <xf numFmtId="8" fontId="8" fillId="9" borderId="19" xfId="2" applyNumberFormat="1" applyBorder="1"/>
    <xf numFmtId="164" fontId="8" fillId="9" borderId="19" xfId="2" applyNumberFormat="1" applyBorder="1"/>
    <xf numFmtId="0" fontId="0" fillId="7" borderId="19" xfId="0" applyFill="1" applyBorder="1"/>
    <xf numFmtId="0" fontId="0" fillId="14" borderId="19" xfId="0" applyFill="1" applyBorder="1"/>
    <xf numFmtId="0" fontId="0" fillId="7" borderId="22" xfId="0" applyFill="1" applyBorder="1"/>
    <xf numFmtId="8" fontId="0" fillId="0" borderId="21" xfId="0" applyNumberFormat="1" applyBorder="1"/>
    <xf numFmtId="164" fontId="0" fillId="0" borderId="21" xfId="0" applyNumberFormat="1" applyBorder="1"/>
    <xf numFmtId="0" fontId="0" fillId="3" borderId="8" xfId="0" applyFill="1" applyBorder="1"/>
    <xf numFmtId="0" fontId="0" fillId="3" borderId="0" xfId="0" applyFill="1"/>
    <xf numFmtId="0" fontId="16" fillId="11" borderId="20" xfId="4" applyFont="1" applyBorder="1"/>
    <xf numFmtId="0" fontId="17" fillId="0" borderId="0" xfId="0" applyFont="1"/>
    <xf numFmtId="0" fontId="9" fillId="10" borderId="23" xfId="3" applyBorder="1"/>
    <xf numFmtId="0" fontId="15" fillId="16" borderId="19" xfId="0" applyFont="1" applyFill="1" applyBorder="1"/>
    <xf numFmtId="0" fontId="0" fillId="16" borderId="19" xfId="0" applyFill="1" applyBorder="1"/>
    <xf numFmtId="0" fontId="17" fillId="16" borderId="19" xfId="0" applyFont="1" applyFill="1" applyBorder="1"/>
    <xf numFmtId="0" fontId="17" fillId="16" borderId="19" xfId="0" applyFont="1" applyFill="1" applyBorder="1" applyAlignment="1">
      <alignment horizontal="left"/>
    </xf>
    <xf numFmtId="8" fontId="7" fillId="15" borderId="21" xfId="1" applyNumberFormat="1" applyFill="1" applyBorder="1" applyAlignment="1">
      <alignment horizontal="center"/>
    </xf>
    <xf numFmtId="164" fontId="7" fillId="15" borderId="21" xfId="1" applyNumberFormat="1" applyFill="1" applyBorder="1" applyAlignment="1">
      <alignment horizontal="center"/>
    </xf>
  </cellXfs>
  <cellStyles count="5">
    <cellStyle name="Bad" xfId="1" builtinId="27"/>
    <cellStyle name="Neutral" xfId="2" builtinId="28"/>
    <cellStyle name="Normal" xfId="0" builtinId="0"/>
    <cellStyle name="Note" xfId="4" builtinId="10"/>
    <cellStyle name="Output"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174"/>
  <sheetViews>
    <sheetView zoomScale="60" zoomScaleNormal="60" workbookViewId="0">
      <selection activeCell="D17" sqref="D17"/>
    </sheetView>
  </sheetViews>
  <sheetFormatPr defaultRowHeight="14.4" x14ac:dyDescent="0.3"/>
  <cols>
    <col min="3" max="3" width="37" style="2" customWidth="1"/>
    <col min="4" max="4" width="32.6640625" customWidth="1"/>
    <col min="5" max="5" width="30.6640625" customWidth="1"/>
    <col min="6" max="6" width="31.21875" customWidth="1"/>
    <col min="7" max="7" width="27.21875" customWidth="1"/>
    <col min="8" max="8" width="24.88671875" customWidth="1"/>
    <col min="9" max="9" width="14.6640625" customWidth="1"/>
    <col min="10" max="10" width="30.77734375" customWidth="1"/>
    <col min="11" max="11" width="33.44140625" customWidth="1"/>
    <col min="12" max="12" width="51.33203125" customWidth="1"/>
    <col min="13" max="13" width="37.33203125" customWidth="1"/>
    <col min="14" max="14" width="39" customWidth="1"/>
    <col min="15" max="15" width="20.6640625" customWidth="1"/>
    <col min="16" max="16" width="63.5546875" customWidth="1"/>
    <col min="17" max="17" width="32.33203125" customWidth="1"/>
    <col min="18" max="18" width="21.33203125" customWidth="1"/>
    <col min="19" max="19" width="18.77734375" customWidth="1"/>
    <col min="20" max="20" width="45.88671875" customWidth="1"/>
    <col min="21" max="21" width="17.88671875" customWidth="1"/>
  </cols>
  <sheetData>
    <row r="1" spans="2:21" x14ac:dyDescent="0.3">
      <c r="C1"/>
    </row>
    <row r="2" spans="2:21" x14ac:dyDescent="0.3">
      <c r="D2" s="6" t="s">
        <v>20</v>
      </c>
      <c r="E2" s="6" t="s">
        <v>21</v>
      </c>
      <c r="F2" s="6" t="s">
        <v>22</v>
      </c>
      <c r="G2" s="6" t="s">
        <v>23</v>
      </c>
      <c r="H2" s="6" t="s">
        <v>24</v>
      </c>
      <c r="I2" s="6" t="s">
        <v>25</v>
      </c>
      <c r="J2" s="6" t="s">
        <v>26</v>
      </c>
      <c r="K2" s="6" t="s">
        <v>27</v>
      </c>
      <c r="L2" s="6" t="s">
        <v>28</v>
      </c>
      <c r="M2" s="6" t="s">
        <v>29</v>
      </c>
      <c r="N2" s="6" t="s">
        <v>30</v>
      </c>
      <c r="O2" s="6" t="s">
        <v>31</v>
      </c>
      <c r="P2" s="6" t="s">
        <v>32</v>
      </c>
      <c r="Q2" s="6" t="s">
        <v>33</v>
      </c>
      <c r="R2" s="6" t="s">
        <v>34</v>
      </c>
      <c r="S2" s="6" t="s">
        <v>35</v>
      </c>
      <c r="T2" s="6" t="s">
        <v>36</v>
      </c>
      <c r="U2" s="6" t="s">
        <v>37</v>
      </c>
    </row>
    <row r="3" spans="2:21" s="1" customFormat="1" ht="18.600000000000001" thickBot="1" x14ac:dyDescent="0.4">
      <c r="C3" s="3"/>
      <c r="D3" s="7" t="s">
        <v>38</v>
      </c>
      <c r="E3" s="7" t="s">
        <v>39</v>
      </c>
      <c r="F3" s="7" t="s">
        <v>40</v>
      </c>
      <c r="G3" s="7" t="s">
        <v>41</v>
      </c>
      <c r="H3" s="7" t="s">
        <v>42</v>
      </c>
      <c r="I3" s="7" t="s">
        <v>43</v>
      </c>
      <c r="J3" s="7" t="s">
        <v>44</v>
      </c>
      <c r="K3" s="7" t="s">
        <v>45</v>
      </c>
      <c r="L3" s="7" t="s">
        <v>46</v>
      </c>
      <c r="M3" s="7" t="s">
        <v>47</v>
      </c>
      <c r="N3" s="7" t="s">
        <v>48</v>
      </c>
      <c r="O3" s="7" t="s">
        <v>49</v>
      </c>
      <c r="P3" s="7" t="s">
        <v>50</v>
      </c>
      <c r="Q3" s="7" t="s">
        <v>51</v>
      </c>
      <c r="R3" s="7" t="s">
        <v>52</v>
      </c>
      <c r="S3" s="7" t="s">
        <v>53</v>
      </c>
      <c r="T3" s="7" t="s">
        <v>54</v>
      </c>
      <c r="U3" s="7" t="s">
        <v>55</v>
      </c>
    </row>
    <row r="4" spans="2:21" ht="18.600000000000001" thickBot="1" x14ac:dyDescent="0.4">
      <c r="B4" t="s">
        <v>10</v>
      </c>
      <c r="C4" s="4" t="s">
        <v>0</v>
      </c>
      <c r="D4" s="8"/>
    </row>
    <row r="5" spans="2:21" ht="18.600000000000001" thickBot="1" x14ac:dyDescent="0.4">
      <c r="B5" t="s">
        <v>11</v>
      </c>
      <c r="C5" s="5" t="s">
        <v>1</v>
      </c>
      <c r="G5" s="8"/>
    </row>
    <row r="6" spans="2:21" ht="18.600000000000001" thickBot="1" x14ac:dyDescent="0.4">
      <c r="B6" t="s">
        <v>12</v>
      </c>
      <c r="C6" s="4" t="s">
        <v>2</v>
      </c>
      <c r="R6" s="8"/>
    </row>
    <row r="7" spans="2:21" ht="18" x14ac:dyDescent="0.35">
      <c r="B7" t="s">
        <v>13</v>
      </c>
      <c r="C7" s="5" t="s">
        <v>3</v>
      </c>
    </row>
    <row r="8" spans="2:21" ht="18.600000000000001" thickBot="1" x14ac:dyDescent="0.4">
      <c r="B8" t="s">
        <v>14</v>
      </c>
      <c r="C8" s="4" t="s">
        <v>4</v>
      </c>
    </row>
    <row r="9" spans="2:21" ht="18.600000000000001" thickBot="1" x14ac:dyDescent="0.4">
      <c r="B9" t="s">
        <v>15</v>
      </c>
      <c r="C9" s="5" t="s">
        <v>5</v>
      </c>
      <c r="E9" s="8"/>
      <c r="F9" s="8"/>
      <c r="G9" s="9"/>
      <c r="H9" s="8"/>
      <c r="I9" s="8"/>
      <c r="K9" s="8"/>
      <c r="L9" s="8"/>
      <c r="M9" s="8"/>
      <c r="N9" s="8"/>
      <c r="O9" s="8"/>
      <c r="P9" s="8"/>
      <c r="Q9" s="8"/>
    </row>
    <row r="10" spans="2:21" ht="18.600000000000001" thickBot="1" x14ac:dyDescent="0.4">
      <c r="B10" t="s">
        <v>16</v>
      </c>
      <c r="C10" s="4" t="s">
        <v>6</v>
      </c>
      <c r="D10" s="8"/>
      <c r="H10" s="8"/>
      <c r="I10" s="8"/>
      <c r="K10" s="8"/>
      <c r="M10" s="8"/>
      <c r="N10" s="8"/>
      <c r="O10" s="8"/>
      <c r="Q10" s="8"/>
    </row>
    <row r="11" spans="2:21" ht="18.600000000000001" thickBot="1" x14ac:dyDescent="0.4">
      <c r="B11" t="s">
        <v>17</v>
      </c>
      <c r="C11" s="5" t="s">
        <v>7</v>
      </c>
      <c r="E11" s="8"/>
    </row>
    <row r="12" spans="2:21" ht="18.600000000000001" thickBot="1" x14ac:dyDescent="0.4">
      <c r="B12" t="s">
        <v>18</v>
      </c>
      <c r="C12" s="4" t="s">
        <v>8</v>
      </c>
      <c r="J12" s="8"/>
      <c r="L12" s="8"/>
      <c r="S12" s="8"/>
      <c r="T12" s="8"/>
      <c r="U12" s="8"/>
    </row>
    <row r="13" spans="2:21" ht="18.600000000000001" thickBot="1" x14ac:dyDescent="0.4">
      <c r="B13" t="s">
        <v>19</v>
      </c>
      <c r="C13" s="5" t="s">
        <v>9</v>
      </c>
      <c r="F13" s="8"/>
      <c r="G13" s="8"/>
      <c r="L13" s="8"/>
      <c r="P13" s="8"/>
    </row>
    <row r="14" spans="2:21" x14ac:dyDescent="0.3">
      <c r="C14"/>
    </row>
    <row r="15" spans="2:21" x14ac:dyDescent="0.3">
      <c r="C15"/>
    </row>
    <row r="16" spans="2:21" x14ac:dyDescent="0.3">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ht="46.2" x14ac:dyDescent="0.85">
      <c r="C23" s="12" t="s">
        <v>101</v>
      </c>
    </row>
    <row r="24" spans="3:3" x14ac:dyDescent="0.3">
      <c r="C24"/>
    </row>
    <row r="25" spans="3:3" ht="18" x14ac:dyDescent="0.3">
      <c r="C25" s="10" t="s">
        <v>102</v>
      </c>
    </row>
    <row r="26" spans="3:3" x14ac:dyDescent="0.3">
      <c r="C26" s="11"/>
    </row>
    <row r="27" spans="3:3" ht="18" x14ac:dyDescent="0.3">
      <c r="C27" s="10" t="s">
        <v>103</v>
      </c>
    </row>
    <row r="28" spans="3:3" x14ac:dyDescent="0.3">
      <c r="C28" s="11"/>
    </row>
    <row r="29" spans="3:3" ht="18" x14ac:dyDescent="0.3">
      <c r="C29" s="10" t="s">
        <v>104</v>
      </c>
    </row>
    <row r="30" spans="3:3" x14ac:dyDescent="0.3">
      <c r="C30" s="11"/>
    </row>
    <row r="31" spans="3:3" ht="18" x14ac:dyDescent="0.3">
      <c r="C31" s="10" t="s">
        <v>105</v>
      </c>
    </row>
    <row r="32" spans="3:3" x14ac:dyDescent="0.3">
      <c r="C32" s="11"/>
    </row>
    <row r="33" spans="3:3" ht="18" x14ac:dyDescent="0.3">
      <c r="C33" s="10" t="s">
        <v>106</v>
      </c>
    </row>
    <row r="34" spans="3:3" x14ac:dyDescent="0.3">
      <c r="C34" s="11"/>
    </row>
    <row r="35" spans="3:3" ht="18" x14ac:dyDescent="0.3">
      <c r="C35" s="10" t="s">
        <v>107</v>
      </c>
    </row>
    <row r="36" spans="3:3" x14ac:dyDescent="0.3">
      <c r="C36" s="11"/>
    </row>
    <row r="37" spans="3:3" ht="18" x14ac:dyDescent="0.3">
      <c r="C37" s="10" t="s">
        <v>108</v>
      </c>
    </row>
    <row r="38" spans="3:3" x14ac:dyDescent="0.3">
      <c r="C38" s="11"/>
    </row>
    <row r="39" spans="3:3" ht="18" x14ac:dyDescent="0.3">
      <c r="C39" s="10" t="s">
        <v>109</v>
      </c>
    </row>
    <row r="40" spans="3:3" x14ac:dyDescent="0.3">
      <c r="C40" s="11"/>
    </row>
    <row r="41" spans="3:3" ht="18" x14ac:dyDescent="0.3">
      <c r="C41" s="10" t="s">
        <v>110</v>
      </c>
    </row>
    <row r="42" spans="3:3" x14ac:dyDescent="0.3">
      <c r="C42" s="11"/>
    </row>
    <row r="43" spans="3:3" ht="18" x14ac:dyDescent="0.3">
      <c r="C43" s="10" t="s">
        <v>111</v>
      </c>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5DCD-9678-400E-817F-B49E897CDE6F}">
  <dimension ref="C4:E15"/>
  <sheetViews>
    <sheetView zoomScaleNormal="100" workbookViewId="0">
      <selection activeCell="B22" sqref="B22"/>
    </sheetView>
  </sheetViews>
  <sheetFormatPr defaultRowHeight="14.4" x14ac:dyDescent="0.3"/>
  <cols>
    <col min="3" max="3" width="33.33203125" customWidth="1"/>
    <col min="4" max="4" width="52.77734375" customWidth="1"/>
    <col min="5" max="5" width="50.21875" customWidth="1"/>
  </cols>
  <sheetData>
    <row r="4" spans="3:5" ht="15" thickBot="1" x14ac:dyDescent="0.35"/>
    <row r="5" spans="3:5" ht="18.600000000000001" thickBot="1" x14ac:dyDescent="0.4">
      <c r="C5" s="15" t="s">
        <v>112</v>
      </c>
      <c r="D5" s="16" t="s">
        <v>113</v>
      </c>
      <c r="E5" s="16" t="s">
        <v>114</v>
      </c>
    </row>
    <row r="6" spans="3:5" ht="19.2" customHeight="1" x14ac:dyDescent="0.35">
      <c r="C6" s="14" t="s">
        <v>115</v>
      </c>
      <c r="D6" s="13" t="s">
        <v>118</v>
      </c>
      <c r="E6" s="13" t="s">
        <v>119</v>
      </c>
    </row>
    <row r="7" spans="3:5" ht="18" x14ac:dyDescent="0.35">
      <c r="C7" s="17" t="s">
        <v>116</v>
      </c>
      <c r="D7" s="17" t="s">
        <v>120</v>
      </c>
      <c r="E7" s="17" t="s">
        <v>121</v>
      </c>
    </row>
    <row r="8" spans="3:5" ht="18" x14ac:dyDescent="0.35">
      <c r="C8" s="14" t="s">
        <v>2</v>
      </c>
      <c r="D8" s="14" t="s">
        <v>122</v>
      </c>
      <c r="E8" s="14" t="s">
        <v>123</v>
      </c>
    </row>
    <row r="9" spans="3:5" ht="18" x14ac:dyDescent="0.35">
      <c r="C9" s="17" t="s">
        <v>3</v>
      </c>
      <c r="D9" s="17" t="s">
        <v>124</v>
      </c>
      <c r="E9" s="17" t="s">
        <v>125</v>
      </c>
    </row>
    <row r="10" spans="3:5" ht="18" x14ac:dyDescent="0.35">
      <c r="C10" s="14" t="s">
        <v>4</v>
      </c>
      <c r="D10" s="14" t="s">
        <v>126</v>
      </c>
      <c r="E10" s="14" t="s">
        <v>127</v>
      </c>
    </row>
    <row r="11" spans="3:5" ht="18" x14ac:dyDescent="0.35">
      <c r="C11" s="17" t="s">
        <v>5</v>
      </c>
      <c r="D11" s="17" t="s">
        <v>128</v>
      </c>
      <c r="E11" s="17" t="s">
        <v>127</v>
      </c>
    </row>
    <row r="12" spans="3:5" ht="18" x14ac:dyDescent="0.35">
      <c r="C12" s="14" t="s">
        <v>6</v>
      </c>
      <c r="D12" s="14" t="s">
        <v>129</v>
      </c>
      <c r="E12" s="14" t="s">
        <v>130</v>
      </c>
    </row>
    <row r="13" spans="3:5" ht="18" x14ac:dyDescent="0.35">
      <c r="C13" s="17" t="s">
        <v>7</v>
      </c>
      <c r="D13" s="17" t="s">
        <v>131</v>
      </c>
      <c r="E13" s="17" t="s">
        <v>132</v>
      </c>
    </row>
    <row r="14" spans="3:5" ht="18" x14ac:dyDescent="0.35">
      <c r="C14" s="14" t="s">
        <v>8</v>
      </c>
      <c r="D14" s="14" t="s">
        <v>133</v>
      </c>
      <c r="E14" s="14" t="s">
        <v>134</v>
      </c>
    </row>
    <row r="15" spans="3:5" ht="18.600000000000001" thickBot="1" x14ac:dyDescent="0.4">
      <c r="C15" s="18" t="s">
        <v>117</v>
      </c>
      <c r="D15" s="18" t="s">
        <v>135</v>
      </c>
      <c r="E15" s="18"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11D6-65AD-4F75-8A06-46D15DC973C7}">
  <dimension ref="B5:AX36"/>
  <sheetViews>
    <sheetView topLeftCell="A7" workbookViewId="0">
      <selection activeCell="C4" sqref="C4"/>
    </sheetView>
  </sheetViews>
  <sheetFormatPr defaultRowHeight="14.4" x14ac:dyDescent="0.3"/>
  <cols>
    <col min="2" max="2" width="23" customWidth="1"/>
  </cols>
  <sheetData>
    <row r="5" spans="2:50" ht="15" thickBot="1" x14ac:dyDescent="0.35"/>
    <row r="6" spans="2:50" x14ac:dyDescent="0.3">
      <c r="B6" s="29" t="s">
        <v>86</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20"/>
    </row>
    <row r="7" spans="2:50" x14ac:dyDescent="0.3">
      <c r="B7" s="21"/>
      <c r="AX7" s="22"/>
    </row>
    <row r="8" spans="2:50" x14ac:dyDescent="0.3">
      <c r="B8" s="23" t="s">
        <v>87</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X8" s="22"/>
    </row>
    <row r="9" spans="2:50" x14ac:dyDescent="0.3">
      <c r="B9" s="21"/>
      <c r="AX9" s="22"/>
    </row>
    <row r="10" spans="2:50" x14ac:dyDescent="0.3">
      <c r="B10" s="30" t="s">
        <v>88</v>
      </c>
      <c r="AX10" s="22"/>
    </row>
    <row r="11" spans="2:50" x14ac:dyDescent="0.3">
      <c r="B11" s="21"/>
      <c r="AX11" s="22"/>
    </row>
    <row r="12" spans="2:50" x14ac:dyDescent="0.3">
      <c r="B12" s="45" t="s">
        <v>89</v>
      </c>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X12" s="22"/>
    </row>
    <row r="13" spans="2:50" x14ac:dyDescent="0.3">
      <c r="B13" s="45"/>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X13" s="22"/>
    </row>
    <row r="14" spans="2:50" x14ac:dyDescent="0.3">
      <c r="B14" s="45" t="s">
        <v>90</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X14" s="22"/>
    </row>
    <row r="15" spans="2:50" x14ac:dyDescent="0.3">
      <c r="B15" s="45"/>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X15" s="22"/>
    </row>
    <row r="16" spans="2:50" x14ac:dyDescent="0.3">
      <c r="B16" s="45" t="s">
        <v>91</v>
      </c>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X16" s="22"/>
    </row>
    <row r="17" spans="2:50" x14ac:dyDescent="0.3">
      <c r="B17" s="21"/>
      <c r="AX17" s="22"/>
    </row>
    <row r="18" spans="2:50" x14ac:dyDescent="0.3">
      <c r="B18" s="30" t="s">
        <v>92</v>
      </c>
      <c r="AX18" s="22"/>
    </row>
    <row r="19" spans="2:50" x14ac:dyDescent="0.3">
      <c r="B19" s="21"/>
      <c r="AX19" s="22"/>
    </row>
    <row r="20" spans="2:50" x14ac:dyDescent="0.3">
      <c r="B20" s="23" t="s">
        <v>93</v>
      </c>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X20" s="22"/>
    </row>
    <row r="21" spans="2:50" x14ac:dyDescent="0.3">
      <c r="B21" s="21"/>
      <c r="AX21" s="22"/>
    </row>
    <row r="22" spans="2:50" x14ac:dyDescent="0.3">
      <c r="B22" s="30" t="s">
        <v>94</v>
      </c>
      <c r="AX22" s="22"/>
    </row>
    <row r="23" spans="2:50" x14ac:dyDescent="0.3">
      <c r="B23" s="21"/>
      <c r="AX23" s="22"/>
    </row>
    <row r="24" spans="2:50" x14ac:dyDescent="0.3">
      <c r="B24" s="23" t="s">
        <v>95</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X24" s="22"/>
    </row>
    <row r="25" spans="2:50" x14ac:dyDescent="0.3">
      <c r="B25" s="23"/>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X25" s="22"/>
    </row>
    <row r="26" spans="2:50" x14ac:dyDescent="0.3">
      <c r="B26" s="23" t="s">
        <v>96</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X26" s="22"/>
    </row>
    <row r="27" spans="2:50" x14ac:dyDescent="0.3">
      <c r="B27" s="21"/>
      <c r="AX27" s="22"/>
    </row>
    <row r="28" spans="2:50" x14ac:dyDescent="0.3">
      <c r="B28" s="30" t="s">
        <v>97</v>
      </c>
      <c r="AX28" s="22"/>
    </row>
    <row r="29" spans="2:50" x14ac:dyDescent="0.3">
      <c r="B29" s="21"/>
      <c r="AX29" s="22"/>
    </row>
    <row r="30" spans="2:50" x14ac:dyDescent="0.3">
      <c r="B30" s="23" t="s">
        <v>98</v>
      </c>
      <c r="C30" s="24"/>
      <c r="D30" s="24"/>
      <c r="E30" s="24"/>
      <c r="F30" s="24"/>
      <c r="G30" s="24"/>
      <c r="H30" s="24"/>
      <c r="I30" s="24"/>
      <c r="J30" s="24"/>
      <c r="K30" s="24"/>
      <c r="L30" s="24"/>
      <c r="M30" s="24"/>
      <c r="N30" s="24"/>
      <c r="O30" s="24"/>
      <c r="P30" s="24"/>
      <c r="Q30" s="24"/>
      <c r="R30" s="24"/>
      <c r="S30" s="24"/>
      <c r="T30" s="24"/>
      <c r="U30" s="24"/>
      <c r="V30" s="24"/>
      <c r="W30" s="24"/>
      <c r="X30" s="24"/>
      <c r="AX30" s="22"/>
    </row>
    <row r="31" spans="2:50" x14ac:dyDescent="0.3">
      <c r="B31" s="21"/>
      <c r="AX31" s="22"/>
    </row>
    <row r="32" spans="2:50" x14ac:dyDescent="0.3">
      <c r="B32" s="30" t="s">
        <v>99</v>
      </c>
      <c r="AX32" s="22"/>
    </row>
    <row r="33" spans="2:50" x14ac:dyDescent="0.3">
      <c r="B33" s="21"/>
      <c r="AX33" s="22"/>
    </row>
    <row r="34" spans="2:50" x14ac:dyDescent="0.3">
      <c r="B34" s="23" t="s">
        <v>100</v>
      </c>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5"/>
    </row>
    <row r="35" spans="2:50" x14ac:dyDescent="0.3">
      <c r="B35" s="23"/>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5"/>
    </row>
    <row r="36" spans="2:50" ht="15" thickBot="1" x14ac:dyDescent="0.35">
      <c r="B36" s="26" t="s">
        <v>137</v>
      </c>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8"/>
    </row>
  </sheetData>
  <mergeCells count="5">
    <mergeCell ref="B12:AT12"/>
    <mergeCell ref="B13:AT13"/>
    <mergeCell ref="B14:AT14"/>
    <mergeCell ref="B15:AT15"/>
    <mergeCell ref="B16:AT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9C817-4020-40B6-B601-D37DE542867C}">
  <dimension ref="C2:N41"/>
  <sheetViews>
    <sheetView tabSelected="1" topLeftCell="E1" zoomScale="80" zoomScaleNormal="80" workbookViewId="0">
      <selection activeCell="G46" sqref="G46"/>
    </sheetView>
  </sheetViews>
  <sheetFormatPr defaultRowHeight="14.4" x14ac:dyDescent="0.3"/>
  <cols>
    <col min="2" max="2" width="4.44140625" customWidth="1"/>
    <col min="3" max="3" width="15.21875" customWidth="1"/>
    <col min="4" max="4" width="47.109375" customWidth="1"/>
    <col min="5" max="5" width="32.77734375" customWidth="1"/>
    <col min="6" max="6" width="14.44140625" customWidth="1"/>
    <col min="7" max="7" width="12.21875" customWidth="1"/>
    <col min="8" max="8" width="25" customWidth="1"/>
    <col min="9" max="9" width="15.33203125" customWidth="1"/>
    <col min="10" max="10" width="15.77734375" customWidth="1"/>
    <col min="11" max="11" width="24.88671875" customWidth="1"/>
    <col min="12" max="12" width="51" customWidth="1"/>
    <col min="13" max="13" width="22" customWidth="1"/>
    <col min="14" max="14" width="26.88671875" customWidth="1"/>
  </cols>
  <sheetData>
    <row r="2" spans="3:14" ht="15" thickBot="1" x14ac:dyDescent="0.35"/>
    <row r="3" spans="3:14" s="31" customFormat="1" ht="18.600000000000001" thickBot="1" x14ac:dyDescent="0.4">
      <c r="C3" s="32" t="s">
        <v>180</v>
      </c>
      <c r="D3" s="32" t="s">
        <v>56</v>
      </c>
      <c r="E3" s="33" t="s">
        <v>57</v>
      </c>
      <c r="F3" s="33" t="s">
        <v>58</v>
      </c>
      <c r="G3" s="33" t="s">
        <v>59</v>
      </c>
      <c r="H3" s="33" t="s">
        <v>60</v>
      </c>
      <c r="I3" s="33" t="s">
        <v>61</v>
      </c>
      <c r="J3" s="33" t="s">
        <v>62</v>
      </c>
      <c r="K3" s="33" t="s">
        <v>63</v>
      </c>
      <c r="L3" s="33" t="s">
        <v>64</v>
      </c>
      <c r="M3" s="33" t="s">
        <v>65</v>
      </c>
      <c r="N3" s="34" t="s">
        <v>66</v>
      </c>
    </row>
    <row r="4" spans="3:14" s="31" customFormat="1" ht="18.600000000000001" thickBot="1" x14ac:dyDescent="0.4">
      <c r="C4" s="50" t="s">
        <v>158</v>
      </c>
      <c r="D4" s="49" t="s">
        <v>151</v>
      </c>
      <c r="E4" s="47" t="s">
        <v>115</v>
      </c>
      <c r="F4" s="40">
        <v>3</v>
      </c>
      <c r="G4" s="42">
        <v>4</v>
      </c>
      <c r="H4" s="54">
        <v>4359600</v>
      </c>
      <c r="I4" s="43">
        <v>52315200</v>
      </c>
      <c r="J4" s="19">
        <f t="shared" ref="J4:J5" si="0">F4*G4</f>
        <v>12</v>
      </c>
      <c r="K4" s="40" t="s">
        <v>152</v>
      </c>
      <c r="L4" s="41" t="s">
        <v>71</v>
      </c>
      <c r="M4" s="35">
        <v>100000</v>
      </c>
      <c r="N4" s="38">
        <v>4259600</v>
      </c>
    </row>
    <row r="5" spans="3:14" s="31" customFormat="1" ht="18.600000000000001" thickBot="1" x14ac:dyDescent="0.4">
      <c r="C5" s="50" t="s">
        <v>159</v>
      </c>
      <c r="D5" s="49" t="s">
        <v>153</v>
      </c>
      <c r="E5" s="47" t="s">
        <v>154</v>
      </c>
      <c r="F5" s="40">
        <v>3</v>
      </c>
      <c r="G5" s="42">
        <v>3</v>
      </c>
      <c r="H5" s="54">
        <v>370800</v>
      </c>
      <c r="I5" s="43">
        <v>3337200</v>
      </c>
      <c r="J5" s="19">
        <f t="shared" si="0"/>
        <v>9</v>
      </c>
      <c r="K5" s="40" t="s">
        <v>152</v>
      </c>
      <c r="L5" s="41" t="s">
        <v>155</v>
      </c>
      <c r="M5" s="35">
        <v>50000</v>
      </c>
      <c r="N5" s="38">
        <v>320800</v>
      </c>
    </row>
    <row r="6" spans="3:14" s="31" customFormat="1" ht="18.600000000000001" thickBot="1" x14ac:dyDescent="0.4">
      <c r="C6" s="50" t="s">
        <v>160</v>
      </c>
      <c r="D6" s="49" t="s">
        <v>156</v>
      </c>
      <c r="E6" s="47" t="s">
        <v>138</v>
      </c>
      <c r="F6" s="40">
        <v>4</v>
      </c>
      <c r="G6" s="42">
        <v>3</v>
      </c>
      <c r="H6" s="54">
        <v>123600</v>
      </c>
      <c r="I6" s="43">
        <v>493200</v>
      </c>
      <c r="J6" s="19">
        <f>F6*G6</f>
        <v>12</v>
      </c>
      <c r="K6" s="40" t="s">
        <v>152</v>
      </c>
      <c r="L6" s="41" t="s">
        <v>157</v>
      </c>
      <c r="M6" s="35">
        <v>30000</v>
      </c>
      <c r="N6" s="38">
        <v>93600</v>
      </c>
    </row>
    <row r="7" spans="3:14" s="31" customFormat="1" ht="18.600000000000001" thickBot="1" x14ac:dyDescent="0.4">
      <c r="C7" s="50" t="s">
        <v>181</v>
      </c>
      <c r="D7" s="49" t="s">
        <v>39</v>
      </c>
      <c r="E7" s="47" t="s">
        <v>138</v>
      </c>
      <c r="F7" s="40">
        <v>3</v>
      </c>
      <c r="G7" s="42">
        <v>4</v>
      </c>
      <c r="H7" s="54">
        <v>46800</v>
      </c>
      <c r="I7" s="43">
        <v>140400</v>
      </c>
      <c r="J7" s="19">
        <f t="shared" ref="J7:J10" si="1">F7*G7</f>
        <v>12</v>
      </c>
      <c r="K7" s="40" t="s">
        <v>69</v>
      </c>
      <c r="L7" s="41" t="s">
        <v>73</v>
      </c>
      <c r="M7" s="35" t="s">
        <v>85</v>
      </c>
      <c r="N7" s="38">
        <v>46800</v>
      </c>
    </row>
    <row r="8" spans="3:14" s="31" customFormat="1" ht="18.600000000000001" thickBot="1" x14ac:dyDescent="0.4">
      <c r="C8" s="50" t="s">
        <v>181</v>
      </c>
      <c r="D8" s="49" t="s">
        <v>39</v>
      </c>
      <c r="E8" s="47" t="s">
        <v>7</v>
      </c>
      <c r="F8" s="40">
        <v>2</v>
      </c>
      <c r="G8" s="42">
        <v>3</v>
      </c>
      <c r="H8" s="54">
        <v>46800</v>
      </c>
      <c r="I8" s="43">
        <v>93600</v>
      </c>
      <c r="J8" s="19">
        <f t="shared" si="1"/>
        <v>6</v>
      </c>
      <c r="K8" s="40" t="s">
        <v>152</v>
      </c>
      <c r="L8" s="41" t="s">
        <v>74</v>
      </c>
      <c r="M8" s="35">
        <v>20000</v>
      </c>
      <c r="N8" s="38">
        <v>26800</v>
      </c>
    </row>
    <row r="9" spans="3:14" s="31" customFormat="1" ht="18.600000000000001" thickBot="1" x14ac:dyDescent="0.4">
      <c r="C9" s="50" t="s">
        <v>184</v>
      </c>
      <c r="D9" s="49" t="s">
        <v>182</v>
      </c>
      <c r="E9" s="47" t="s">
        <v>138</v>
      </c>
      <c r="F9" s="40">
        <v>3</v>
      </c>
      <c r="G9" s="42">
        <v>3</v>
      </c>
      <c r="H9" s="54">
        <v>123600</v>
      </c>
      <c r="I9" s="43">
        <v>370800</v>
      </c>
      <c r="J9" s="19">
        <f t="shared" si="1"/>
        <v>9</v>
      </c>
      <c r="K9" s="40" t="s">
        <v>69</v>
      </c>
      <c r="L9" s="41" t="s">
        <v>183</v>
      </c>
      <c r="M9" s="35" t="s">
        <v>85</v>
      </c>
      <c r="N9" s="38">
        <v>123600</v>
      </c>
    </row>
    <row r="10" spans="3:14" s="31" customFormat="1" ht="18.600000000000001" thickBot="1" x14ac:dyDescent="0.4">
      <c r="C10" s="50" t="s">
        <v>184</v>
      </c>
      <c r="D10" s="49" t="s">
        <v>182</v>
      </c>
      <c r="E10" s="47" t="s">
        <v>141</v>
      </c>
      <c r="F10" s="40">
        <v>3</v>
      </c>
      <c r="G10" s="42">
        <v>3</v>
      </c>
      <c r="H10" s="54">
        <v>123600</v>
      </c>
      <c r="I10" s="43">
        <v>370800</v>
      </c>
      <c r="J10" s="19">
        <f t="shared" si="1"/>
        <v>9</v>
      </c>
      <c r="K10" s="40" t="s">
        <v>152</v>
      </c>
      <c r="L10" s="41" t="s">
        <v>81</v>
      </c>
      <c r="M10" s="35">
        <v>50000</v>
      </c>
      <c r="N10" s="38">
        <v>73600</v>
      </c>
    </row>
    <row r="11" spans="3:14" ht="15" thickBot="1" x14ac:dyDescent="0.35">
      <c r="C11" s="51" t="s">
        <v>161</v>
      </c>
      <c r="D11" s="49" t="s">
        <v>143</v>
      </c>
      <c r="E11" s="47" t="s">
        <v>115</v>
      </c>
      <c r="F11" s="40">
        <v>3</v>
      </c>
      <c r="G11" s="42">
        <v>4</v>
      </c>
      <c r="H11" s="54">
        <v>441000</v>
      </c>
      <c r="I11" s="43">
        <v>5292000</v>
      </c>
      <c r="J11" s="19">
        <f>F11*G11</f>
        <v>12</v>
      </c>
      <c r="K11" s="40" t="s">
        <v>68</v>
      </c>
      <c r="L11" s="41" t="s">
        <v>71</v>
      </c>
      <c r="M11" s="35">
        <v>100000</v>
      </c>
      <c r="N11" s="38">
        <v>341000</v>
      </c>
    </row>
    <row r="12" spans="3:14" ht="15" thickBot="1" x14ac:dyDescent="0.35">
      <c r="C12" s="51" t="s">
        <v>161</v>
      </c>
      <c r="D12" s="49" t="s">
        <v>144</v>
      </c>
      <c r="E12" s="47" t="s">
        <v>6</v>
      </c>
      <c r="F12" s="40">
        <v>4</v>
      </c>
      <c r="G12" s="42">
        <v>4</v>
      </c>
      <c r="H12" s="54">
        <v>441000</v>
      </c>
      <c r="I12" s="43">
        <v>7056000</v>
      </c>
      <c r="J12" s="19">
        <f t="shared" ref="J12:J40" si="2">F12*G12</f>
        <v>16</v>
      </c>
      <c r="K12" s="40" t="s">
        <v>68</v>
      </c>
      <c r="L12" s="41" t="s">
        <v>72</v>
      </c>
      <c r="M12" s="35">
        <v>150000</v>
      </c>
      <c r="N12" s="38">
        <v>591000</v>
      </c>
    </row>
    <row r="13" spans="3:14" ht="15" thickBot="1" x14ac:dyDescent="0.35">
      <c r="C13" s="51" t="s">
        <v>161</v>
      </c>
      <c r="D13" s="49" t="s">
        <v>39</v>
      </c>
      <c r="E13" s="47" t="s">
        <v>138</v>
      </c>
      <c r="F13" s="40">
        <v>3</v>
      </c>
      <c r="G13" s="42">
        <v>4</v>
      </c>
      <c r="H13" s="54">
        <v>210600</v>
      </c>
      <c r="I13" s="43">
        <v>2527200</v>
      </c>
      <c r="J13" s="19">
        <f t="shared" si="2"/>
        <v>12</v>
      </c>
      <c r="K13" s="40" t="s">
        <v>69</v>
      </c>
      <c r="L13" s="41" t="s">
        <v>73</v>
      </c>
      <c r="M13" s="36" t="s">
        <v>85</v>
      </c>
      <c r="N13" s="38">
        <v>2527200</v>
      </c>
    </row>
    <row r="14" spans="3:14" ht="15" thickBot="1" x14ac:dyDescent="0.35">
      <c r="C14" s="51" t="s">
        <v>161</v>
      </c>
      <c r="D14" s="49" t="s">
        <v>39</v>
      </c>
      <c r="E14" s="47" t="s">
        <v>139</v>
      </c>
      <c r="F14" s="40">
        <v>2</v>
      </c>
      <c r="G14" s="42">
        <v>3</v>
      </c>
      <c r="H14" s="54">
        <v>210600</v>
      </c>
      <c r="I14" s="43">
        <v>631800</v>
      </c>
      <c r="J14" s="19">
        <f t="shared" si="2"/>
        <v>6</v>
      </c>
      <c r="K14" s="40" t="s">
        <v>68</v>
      </c>
      <c r="L14" s="41" t="s">
        <v>74</v>
      </c>
      <c r="M14" s="35">
        <v>80000</v>
      </c>
      <c r="N14" s="38">
        <v>290600</v>
      </c>
    </row>
    <row r="15" spans="3:14" ht="15" thickBot="1" x14ac:dyDescent="0.35">
      <c r="C15" s="51" t="s">
        <v>162</v>
      </c>
      <c r="D15" s="49" t="s">
        <v>145</v>
      </c>
      <c r="E15" s="47" t="s">
        <v>138</v>
      </c>
      <c r="F15" s="40">
        <v>3</v>
      </c>
      <c r="G15" s="42">
        <v>3</v>
      </c>
      <c r="H15" s="54">
        <v>73600</v>
      </c>
      <c r="I15" s="43">
        <v>220800</v>
      </c>
      <c r="J15" s="19">
        <f t="shared" si="2"/>
        <v>9</v>
      </c>
      <c r="K15" s="40" t="s">
        <v>69</v>
      </c>
      <c r="L15" s="41" t="s">
        <v>75</v>
      </c>
      <c r="M15" s="36" t="s">
        <v>85</v>
      </c>
      <c r="N15" s="38">
        <v>220800</v>
      </c>
    </row>
    <row r="16" spans="3:14" ht="15" thickBot="1" x14ac:dyDescent="0.35">
      <c r="C16" s="51" t="s">
        <v>162</v>
      </c>
      <c r="D16" s="49" t="s">
        <v>145</v>
      </c>
      <c r="E16" s="47" t="s">
        <v>140</v>
      </c>
      <c r="F16" s="40">
        <v>2</v>
      </c>
      <c r="G16" s="42">
        <v>3</v>
      </c>
      <c r="H16" s="54">
        <v>73600</v>
      </c>
      <c r="I16" s="43">
        <v>220800</v>
      </c>
      <c r="J16" s="19">
        <f t="shared" si="2"/>
        <v>6</v>
      </c>
      <c r="K16" s="40" t="s">
        <v>69</v>
      </c>
      <c r="L16" s="41" t="s">
        <v>76</v>
      </c>
      <c r="M16" s="37" t="s">
        <v>85</v>
      </c>
      <c r="N16" s="38">
        <v>220800</v>
      </c>
    </row>
    <row r="17" spans="3:14" ht="15" thickBot="1" x14ac:dyDescent="0.35">
      <c r="C17" s="51" t="s">
        <v>163</v>
      </c>
      <c r="D17" s="49" t="s">
        <v>41</v>
      </c>
      <c r="E17" s="47" t="s">
        <v>116</v>
      </c>
      <c r="F17" s="40">
        <v>3</v>
      </c>
      <c r="G17" s="42">
        <v>4</v>
      </c>
      <c r="H17" s="55">
        <v>205682</v>
      </c>
      <c r="I17" s="44">
        <v>2468184</v>
      </c>
      <c r="J17" s="19">
        <f t="shared" si="2"/>
        <v>12</v>
      </c>
      <c r="K17" s="40" t="s">
        <v>68</v>
      </c>
      <c r="L17" s="41" t="s">
        <v>77</v>
      </c>
      <c r="M17" s="37">
        <v>80000</v>
      </c>
      <c r="N17" s="39">
        <v>2348184</v>
      </c>
    </row>
    <row r="18" spans="3:14" ht="15" thickBot="1" x14ac:dyDescent="0.35">
      <c r="C18" s="51" t="s">
        <v>163</v>
      </c>
      <c r="D18" s="49" t="s">
        <v>41</v>
      </c>
      <c r="E18" s="47" t="s">
        <v>138</v>
      </c>
      <c r="F18" s="40">
        <v>4</v>
      </c>
      <c r="G18" s="42">
        <v>4</v>
      </c>
      <c r="H18" s="55">
        <v>205682</v>
      </c>
      <c r="I18" s="44">
        <v>3288512</v>
      </c>
      <c r="J18" s="19">
        <f t="shared" si="2"/>
        <v>16</v>
      </c>
      <c r="K18" s="40" t="s">
        <v>69</v>
      </c>
      <c r="L18" s="41" t="s">
        <v>78</v>
      </c>
      <c r="M18" s="36" t="s">
        <v>85</v>
      </c>
      <c r="N18" s="39">
        <v>3288512</v>
      </c>
    </row>
    <row r="19" spans="3:14" ht="15" thickBot="1" x14ac:dyDescent="0.35">
      <c r="C19" s="51" t="s">
        <v>163</v>
      </c>
      <c r="D19" s="49" t="s">
        <v>41</v>
      </c>
      <c r="E19" s="47" t="s">
        <v>140</v>
      </c>
      <c r="F19" s="40">
        <v>2</v>
      </c>
      <c r="G19" s="42">
        <v>3</v>
      </c>
      <c r="H19" s="55">
        <v>205682</v>
      </c>
      <c r="I19" s="44">
        <v>617046</v>
      </c>
      <c r="J19" s="19">
        <f t="shared" si="2"/>
        <v>6</v>
      </c>
      <c r="K19" s="40" t="s">
        <v>70</v>
      </c>
      <c r="L19" s="41" t="s">
        <v>79</v>
      </c>
      <c r="M19" s="37">
        <v>50000</v>
      </c>
      <c r="N19" s="39">
        <v>567046</v>
      </c>
    </row>
    <row r="20" spans="3:14" ht="15" thickBot="1" x14ac:dyDescent="0.35">
      <c r="C20" s="51" t="s">
        <v>164</v>
      </c>
      <c r="D20" s="49" t="s">
        <v>42</v>
      </c>
      <c r="E20" s="47" t="s">
        <v>138</v>
      </c>
      <c r="F20" s="40">
        <v>3</v>
      </c>
      <c r="G20" s="42">
        <v>3</v>
      </c>
      <c r="H20" s="55">
        <v>19224</v>
      </c>
      <c r="I20" s="44">
        <v>57672</v>
      </c>
      <c r="J20" s="19">
        <f t="shared" si="2"/>
        <v>9</v>
      </c>
      <c r="K20" s="40" t="s">
        <v>69</v>
      </c>
      <c r="L20" s="41" t="s">
        <v>80</v>
      </c>
      <c r="M20" s="37" t="s">
        <v>85</v>
      </c>
      <c r="N20" s="39">
        <v>57672</v>
      </c>
    </row>
    <row r="21" spans="3:14" ht="15" thickBot="1" x14ac:dyDescent="0.35">
      <c r="C21" s="51" t="s">
        <v>164</v>
      </c>
      <c r="D21" s="49" t="s">
        <v>42</v>
      </c>
      <c r="E21" s="47" t="s">
        <v>141</v>
      </c>
      <c r="F21" s="40">
        <v>3</v>
      </c>
      <c r="G21" s="42">
        <v>3</v>
      </c>
      <c r="H21" s="55">
        <v>19224</v>
      </c>
      <c r="I21" s="44">
        <v>57672</v>
      </c>
      <c r="J21" s="19">
        <f t="shared" si="2"/>
        <v>9</v>
      </c>
      <c r="K21" s="40" t="s">
        <v>68</v>
      </c>
      <c r="L21" s="41" t="s">
        <v>81</v>
      </c>
      <c r="M21" s="37">
        <v>30000</v>
      </c>
      <c r="N21" s="39">
        <v>27672</v>
      </c>
    </row>
    <row r="22" spans="3:14" ht="15" thickBot="1" x14ac:dyDescent="0.35">
      <c r="C22" s="51" t="s">
        <v>165</v>
      </c>
      <c r="D22" s="49" t="s">
        <v>43</v>
      </c>
      <c r="E22" s="47" t="s">
        <v>138</v>
      </c>
      <c r="F22" s="40">
        <v>3</v>
      </c>
      <c r="G22" s="42">
        <v>3</v>
      </c>
      <c r="H22" s="54">
        <v>11178</v>
      </c>
      <c r="I22" s="43">
        <v>33534</v>
      </c>
      <c r="J22" s="19">
        <f t="shared" si="2"/>
        <v>9</v>
      </c>
      <c r="K22" s="40" t="s">
        <v>69</v>
      </c>
      <c r="L22" s="41" t="s">
        <v>82</v>
      </c>
      <c r="M22" s="35">
        <v>20000</v>
      </c>
      <c r="N22" s="38">
        <v>33534</v>
      </c>
    </row>
    <row r="23" spans="3:14" ht="15" thickBot="1" x14ac:dyDescent="0.35">
      <c r="C23" s="51" t="s">
        <v>165</v>
      </c>
      <c r="D23" s="49" t="s">
        <v>43</v>
      </c>
      <c r="E23" s="47" t="s">
        <v>141</v>
      </c>
      <c r="F23" s="40">
        <v>3</v>
      </c>
      <c r="G23" s="42">
        <v>3</v>
      </c>
      <c r="H23" s="54">
        <v>11178</v>
      </c>
      <c r="I23" s="43">
        <v>33534</v>
      </c>
      <c r="J23" s="19">
        <f t="shared" si="2"/>
        <v>9</v>
      </c>
      <c r="K23" s="40" t="s">
        <v>68</v>
      </c>
      <c r="L23" s="41" t="s">
        <v>81</v>
      </c>
      <c r="M23" s="37">
        <v>15000</v>
      </c>
      <c r="N23" s="38">
        <v>13534</v>
      </c>
    </row>
    <row r="24" spans="3:14" ht="15" thickBot="1" x14ac:dyDescent="0.35">
      <c r="C24" s="52" t="s">
        <v>166</v>
      </c>
      <c r="D24" s="49" t="s">
        <v>146</v>
      </c>
      <c r="E24" s="47" t="s">
        <v>142</v>
      </c>
      <c r="F24" s="40">
        <v>4</v>
      </c>
      <c r="G24" s="42">
        <v>4</v>
      </c>
      <c r="H24" s="55">
        <v>1906</v>
      </c>
      <c r="I24" s="44">
        <v>30496</v>
      </c>
      <c r="J24" s="19">
        <f t="shared" si="2"/>
        <v>16</v>
      </c>
      <c r="K24" s="40" t="s">
        <v>68</v>
      </c>
      <c r="L24" s="41" t="s">
        <v>83</v>
      </c>
      <c r="M24" s="36" t="s">
        <v>85</v>
      </c>
      <c r="N24" s="39">
        <v>16906</v>
      </c>
    </row>
    <row r="25" spans="3:14" ht="15" thickBot="1" x14ac:dyDescent="0.35">
      <c r="C25" s="52" t="s">
        <v>167</v>
      </c>
      <c r="D25" s="49" t="s">
        <v>147</v>
      </c>
      <c r="E25" s="47" t="s">
        <v>138</v>
      </c>
      <c r="F25" s="40">
        <v>3</v>
      </c>
      <c r="G25" s="42">
        <v>3</v>
      </c>
      <c r="H25" s="55">
        <v>600</v>
      </c>
      <c r="I25" s="44">
        <v>1800</v>
      </c>
      <c r="J25" s="19">
        <f t="shared" si="2"/>
        <v>9</v>
      </c>
      <c r="K25" s="40" t="s">
        <v>69</v>
      </c>
      <c r="L25" s="41" t="s">
        <v>84</v>
      </c>
      <c r="M25" s="37">
        <v>5000</v>
      </c>
      <c r="N25" s="39">
        <v>1800</v>
      </c>
    </row>
    <row r="26" spans="3:14" ht="15" thickBot="1" x14ac:dyDescent="0.35">
      <c r="C26" s="52" t="s">
        <v>167</v>
      </c>
      <c r="D26" s="49" t="s">
        <v>147</v>
      </c>
      <c r="E26" s="47" t="s">
        <v>141</v>
      </c>
      <c r="F26" s="40">
        <v>3</v>
      </c>
      <c r="G26" s="42">
        <v>3</v>
      </c>
      <c r="H26" s="55">
        <v>600</v>
      </c>
      <c r="I26" s="44">
        <v>1800</v>
      </c>
      <c r="J26" s="19">
        <f t="shared" si="2"/>
        <v>9</v>
      </c>
      <c r="K26" s="40" t="s">
        <v>68</v>
      </c>
      <c r="L26" s="41" t="s">
        <v>81</v>
      </c>
      <c r="M26" s="36" t="s">
        <v>85</v>
      </c>
      <c r="N26" s="39">
        <v>800</v>
      </c>
    </row>
    <row r="27" spans="3:14" ht="15" thickBot="1" x14ac:dyDescent="0.35">
      <c r="C27" s="52" t="s">
        <v>168</v>
      </c>
      <c r="D27" s="49" t="s">
        <v>148</v>
      </c>
      <c r="E27" s="47" t="s">
        <v>142</v>
      </c>
      <c r="F27" s="40">
        <v>4</v>
      </c>
      <c r="G27" s="42">
        <v>4</v>
      </c>
      <c r="H27" s="54">
        <v>2060</v>
      </c>
      <c r="I27" s="43">
        <v>32960</v>
      </c>
      <c r="J27" s="19">
        <f t="shared" si="2"/>
        <v>16</v>
      </c>
      <c r="K27" s="40" t="s">
        <v>68</v>
      </c>
      <c r="L27" s="41" t="s">
        <v>83</v>
      </c>
      <c r="M27" s="35">
        <v>10000</v>
      </c>
      <c r="N27" s="38">
        <v>22960</v>
      </c>
    </row>
    <row r="28" spans="3:14" ht="15" thickBot="1" x14ac:dyDescent="0.35">
      <c r="C28" s="52" t="s">
        <v>168</v>
      </c>
      <c r="D28" s="49" t="s">
        <v>148</v>
      </c>
      <c r="E28" s="47" t="s">
        <v>140</v>
      </c>
      <c r="F28" s="40">
        <v>3</v>
      </c>
      <c r="G28" s="42">
        <v>3</v>
      </c>
      <c r="H28" s="54">
        <v>2060</v>
      </c>
      <c r="I28" s="43">
        <v>18540</v>
      </c>
      <c r="J28" s="19">
        <f t="shared" si="2"/>
        <v>9</v>
      </c>
      <c r="K28" s="40" t="s">
        <v>69</v>
      </c>
      <c r="L28" s="41" t="s">
        <v>76</v>
      </c>
      <c r="M28" s="36" t="s">
        <v>85</v>
      </c>
      <c r="N28" s="38">
        <v>18540</v>
      </c>
    </row>
    <row r="29" spans="3:14" ht="15" thickBot="1" x14ac:dyDescent="0.35">
      <c r="C29" s="52" t="s">
        <v>168</v>
      </c>
      <c r="D29" s="49" t="s">
        <v>148</v>
      </c>
      <c r="E29" s="47" t="s">
        <v>138</v>
      </c>
      <c r="F29" s="40">
        <v>3</v>
      </c>
      <c r="G29" s="42">
        <v>3</v>
      </c>
      <c r="H29" s="54">
        <v>2060</v>
      </c>
      <c r="I29" s="43">
        <v>18540</v>
      </c>
      <c r="J29" s="19">
        <f t="shared" si="2"/>
        <v>9</v>
      </c>
      <c r="K29" s="40" t="s">
        <v>69</v>
      </c>
      <c r="L29" s="41" t="s">
        <v>82</v>
      </c>
      <c r="M29" s="36" t="s">
        <v>85</v>
      </c>
      <c r="N29" s="38">
        <v>18540</v>
      </c>
    </row>
    <row r="30" spans="3:14" ht="15" thickBot="1" x14ac:dyDescent="0.35">
      <c r="C30" s="52" t="s">
        <v>168</v>
      </c>
      <c r="D30" s="49" t="s">
        <v>148</v>
      </c>
      <c r="E30" s="47" t="s">
        <v>141</v>
      </c>
      <c r="F30" s="40">
        <v>3</v>
      </c>
      <c r="G30" s="42">
        <v>3</v>
      </c>
      <c r="H30" s="54">
        <v>2060</v>
      </c>
      <c r="I30" s="43">
        <v>18540</v>
      </c>
      <c r="J30" s="19">
        <f t="shared" si="2"/>
        <v>9</v>
      </c>
      <c r="K30" s="40" t="s">
        <v>68</v>
      </c>
      <c r="L30" s="41" t="s">
        <v>81</v>
      </c>
      <c r="M30" s="35">
        <v>15000</v>
      </c>
      <c r="N30" s="38">
        <v>3540</v>
      </c>
    </row>
    <row r="31" spans="3:14" ht="15" thickBot="1" x14ac:dyDescent="0.35">
      <c r="C31" s="52" t="s">
        <v>169</v>
      </c>
      <c r="D31" s="49" t="s">
        <v>149</v>
      </c>
      <c r="E31" s="47" t="s">
        <v>138</v>
      </c>
      <c r="F31" s="40">
        <v>3</v>
      </c>
      <c r="G31" s="42">
        <v>3</v>
      </c>
      <c r="H31" s="55">
        <v>3072</v>
      </c>
      <c r="I31" s="44">
        <v>9216</v>
      </c>
      <c r="J31" s="19">
        <f t="shared" si="2"/>
        <v>9</v>
      </c>
      <c r="K31" s="40" t="s">
        <v>69</v>
      </c>
      <c r="L31" s="41" t="s">
        <v>82</v>
      </c>
      <c r="M31" s="36" t="s">
        <v>85</v>
      </c>
      <c r="N31" s="39">
        <v>9216</v>
      </c>
    </row>
    <row r="32" spans="3:14" ht="15" thickBot="1" x14ac:dyDescent="0.35">
      <c r="C32" s="52" t="s">
        <v>169</v>
      </c>
      <c r="D32" s="49" t="s">
        <v>149</v>
      </c>
      <c r="E32" s="47" t="s">
        <v>141</v>
      </c>
      <c r="F32" s="40">
        <v>3</v>
      </c>
      <c r="G32" s="42">
        <v>3</v>
      </c>
      <c r="H32" s="55">
        <v>3072</v>
      </c>
      <c r="I32" s="44">
        <v>9216</v>
      </c>
      <c r="J32" s="19">
        <f t="shared" si="2"/>
        <v>9</v>
      </c>
      <c r="K32" s="40" t="s">
        <v>68</v>
      </c>
      <c r="L32" s="41" t="s">
        <v>81</v>
      </c>
      <c r="M32" s="36">
        <v>10000</v>
      </c>
      <c r="N32" s="39" t="s">
        <v>85</v>
      </c>
    </row>
    <row r="33" spans="3:14" ht="15" thickBot="1" x14ac:dyDescent="0.35">
      <c r="C33" s="52" t="s">
        <v>170</v>
      </c>
      <c r="D33" s="49" t="s">
        <v>150</v>
      </c>
      <c r="E33" s="47" t="s">
        <v>67</v>
      </c>
      <c r="F33" s="40">
        <v>4</v>
      </c>
      <c r="G33" s="42">
        <v>3</v>
      </c>
      <c r="H33" s="55"/>
      <c r="I33" s="44"/>
      <c r="J33" s="19">
        <f t="shared" si="2"/>
        <v>12</v>
      </c>
      <c r="K33" s="40"/>
      <c r="L33" s="41"/>
      <c r="M33" s="36"/>
      <c r="N33" s="39"/>
    </row>
    <row r="34" spans="3:14" ht="15" thickBot="1" x14ac:dyDescent="0.35">
      <c r="C34" s="52" t="s">
        <v>171</v>
      </c>
      <c r="D34" s="49" t="s">
        <v>49</v>
      </c>
      <c r="E34" s="47" t="s">
        <v>138</v>
      </c>
      <c r="F34" s="40">
        <v>3</v>
      </c>
      <c r="G34" s="42">
        <v>2</v>
      </c>
      <c r="H34" s="55">
        <v>22640</v>
      </c>
      <c r="I34" s="44">
        <v>45280</v>
      </c>
      <c r="J34" s="19">
        <f t="shared" si="2"/>
        <v>6</v>
      </c>
      <c r="K34" s="40" t="s">
        <v>69</v>
      </c>
      <c r="L34" s="41"/>
      <c r="M34" s="36" t="s">
        <v>85</v>
      </c>
      <c r="N34" s="39">
        <v>22640</v>
      </c>
    </row>
    <row r="35" spans="3:14" ht="15" thickBot="1" x14ac:dyDescent="0.35">
      <c r="C35" s="52" t="s">
        <v>173</v>
      </c>
      <c r="D35" s="49" t="s">
        <v>172</v>
      </c>
      <c r="E35" s="47" t="s">
        <v>9</v>
      </c>
      <c r="F35" s="40">
        <v>2</v>
      </c>
      <c r="G35" s="42">
        <v>3</v>
      </c>
      <c r="H35" s="55">
        <v>3640</v>
      </c>
      <c r="I35" s="44">
        <v>21840</v>
      </c>
      <c r="J35" s="19">
        <f t="shared" si="2"/>
        <v>6</v>
      </c>
      <c r="K35" s="40" t="s">
        <v>152</v>
      </c>
      <c r="L35" s="41" t="s">
        <v>76</v>
      </c>
      <c r="M35" s="36">
        <v>5000</v>
      </c>
      <c r="N35" s="39">
        <v>-1360</v>
      </c>
    </row>
    <row r="36" spans="3:14" ht="15" thickBot="1" x14ac:dyDescent="0.35">
      <c r="C36" s="52" t="s">
        <v>174</v>
      </c>
      <c r="D36" s="49" t="s">
        <v>51</v>
      </c>
      <c r="E36" s="47" t="s">
        <v>9</v>
      </c>
      <c r="F36" s="40">
        <v>3</v>
      </c>
      <c r="G36" s="42">
        <v>3</v>
      </c>
      <c r="H36" s="55">
        <v>7680</v>
      </c>
      <c r="I36" s="44">
        <v>69120</v>
      </c>
      <c r="J36" s="19">
        <f t="shared" si="2"/>
        <v>9</v>
      </c>
      <c r="K36" s="40" t="s">
        <v>152</v>
      </c>
      <c r="L36" s="41" t="s">
        <v>76</v>
      </c>
      <c r="M36" s="36">
        <v>10000</v>
      </c>
      <c r="N36" s="39">
        <v>-2320</v>
      </c>
    </row>
    <row r="37" spans="3:14" ht="15" thickBot="1" x14ac:dyDescent="0.35">
      <c r="C37" s="52" t="s">
        <v>175</v>
      </c>
      <c r="D37" s="49" t="s">
        <v>52</v>
      </c>
      <c r="E37" s="47" t="s">
        <v>154</v>
      </c>
      <c r="F37" s="40">
        <v>4</v>
      </c>
      <c r="G37" s="42">
        <v>3</v>
      </c>
      <c r="H37" s="55">
        <v>3640</v>
      </c>
      <c r="I37" s="44">
        <v>43680</v>
      </c>
      <c r="J37" s="19">
        <f t="shared" si="2"/>
        <v>12</v>
      </c>
      <c r="K37" s="40" t="s">
        <v>152</v>
      </c>
      <c r="L37" s="41" t="s">
        <v>176</v>
      </c>
      <c r="M37" s="36">
        <v>5000</v>
      </c>
      <c r="N37" s="39">
        <v>-1360</v>
      </c>
    </row>
    <row r="38" spans="3:14" ht="15" thickBot="1" x14ac:dyDescent="0.35">
      <c r="C38" s="52" t="s">
        <v>177</v>
      </c>
      <c r="D38" s="49" t="s">
        <v>53</v>
      </c>
      <c r="E38" s="47" t="s">
        <v>154</v>
      </c>
      <c r="F38" s="40">
        <v>4</v>
      </c>
      <c r="G38" s="42">
        <v>3</v>
      </c>
      <c r="H38" s="55">
        <v>7680</v>
      </c>
      <c r="I38" s="44">
        <v>91800</v>
      </c>
      <c r="J38" s="19">
        <f t="shared" si="2"/>
        <v>12</v>
      </c>
      <c r="K38" s="40" t="s">
        <v>152</v>
      </c>
      <c r="L38" s="41" t="s">
        <v>176</v>
      </c>
      <c r="M38" s="36">
        <v>8000</v>
      </c>
      <c r="N38" s="39">
        <v>-320</v>
      </c>
    </row>
    <row r="39" spans="3:14" ht="15" thickBot="1" x14ac:dyDescent="0.35">
      <c r="C39" s="52" t="s">
        <v>179</v>
      </c>
      <c r="D39" s="49" t="s">
        <v>54</v>
      </c>
      <c r="E39" s="47" t="s">
        <v>8</v>
      </c>
      <c r="F39" s="40">
        <v>4</v>
      </c>
      <c r="G39" s="42">
        <v>4</v>
      </c>
      <c r="H39" s="55">
        <v>2000</v>
      </c>
      <c r="I39" s="44">
        <v>32000</v>
      </c>
      <c r="J39" s="19">
        <f t="shared" si="2"/>
        <v>16</v>
      </c>
      <c r="K39" s="40" t="s">
        <v>178</v>
      </c>
      <c r="L39" s="41" t="s">
        <v>83</v>
      </c>
      <c r="M39" s="36">
        <v>15000</v>
      </c>
      <c r="N39" s="39">
        <v>-13000</v>
      </c>
    </row>
    <row r="40" spans="3:14" x14ac:dyDescent="0.3">
      <c r="C40" s="53">
        <v>1.4</v>
      </c>
      <c r="D40" s="49" t="s">
        <v>55</v>
      </c>
      <c r="E40" s="47" t="s">
        <v>8</v>
      </c>
      <c r="F40" s="40">
        <v>4</v>
      </c>
      <c r="G40" s="42">
        <v>4</v>
      </c>
      <c r="H40" s="55">
        <v>1536</v>
      </c>
      <c r="I40" s="44">
        <v>24576</v>
      </c>
      <c r="J40" s="19">
        <f t="shared" si="2"/>
        <v>16</v>
      </c>
      <c r="K40" s="40" t="s">
        <v>178</v>
      </c>
      <c r="L40" s="41" t="s">
        <v>83</v>
      </c>
      <c r="M40" s="36">
        <v>10000</v>
      </c>
      <c r="N40" s="39">
        <v>-8464</v>
      </c>
    </row>
    <row r="41" spans="3:14" x14ac:dyDescent="0.3">
      <c r="C41" s="48"/>
    </row>
  </sheetData>
  <conditionalFormatting sqref="D3:N3">
    <cfRule type="colorScale" priority="2">
      <colorScale>
        <cfvo type="min"/>
        <cfvo type="percentile" val="50"/>
        <cfvo type="max"/>
        <color rgb="FFF8696B"/>
        <color rgb="FFFFEB84"/>
        <color rgb="FF63BE7B"/>
      </colorScale>
    </cfRule>
  </conditionalFormatting>
  <conditionalFormatting sqref="C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risk assesment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2023-12-29T15:36:41Z</dcterms:modified>
</cp:coreProperties>
</file>
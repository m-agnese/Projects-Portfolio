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.agnese\Desktop\"/>
    </mc:Choice>
  </mc:AlternateContent>
  <xr:revisionPtr revIDLastSave="0" documentId="8_{433A7EDB-A44E-42D7-89FF-50DD589C6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CP a" sheetId="2" r:id="rId1"/>
    <sheet name="UCP 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3" l="1"/>
  <c r="E39" i="3"/>
  <c r="E38" i="3"/>
  <c r="E37" i="3"/>
  <c r="E36" i="3"/>
  <c r="E35" i="3"/>
  <c r="L33" i="3"/>
  <c r="E34" i="3"/>
  <c r="E33" i="3"/>
  <c r="I23" i="3" s="1"/>
  <c r="I24" i="3" s="1"/>
  <c r="E30" i="3"/>
  <c r="E29" i="3"/>
  <c r="E28" i="3"/>
  <c r="E27" i="3"/>
  <c r="E26" i="3"/>
  <c r="E25" i="3"/>
  <c r="E24" i="3"/>
  <c r="L21" i="3"/>
  <c r="E23" i="3"/>
  <c r="L20" i="3"/>
  <c r="L22" i="3" s="1"/>
  <c r="L24" i="3" s="1"/>
  <c r="E22" i="3"/>
  <c r="E21" i="3"/>
  <c r="E20" i="3"/>
  <c r="E19" i="3"/>
  <c r="E18" i="3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40" i="2"/>
  <c r="E39" i="2"/>
  <c r="E38" i="2"/>
  <c r="E37" i="2"/>
  <c r="E36" i="2"/>
  <c r="E35" i="2"/>
  <c r="L33" i="2"/>
  <c r="E34" i="2"/>
  <c r="E33" i="2"/>
  <c r="E30" i="2"/>
  <c r="E29" i="2"/>
  <c r="E28" i="2"/>
  <c r="E27" i="2"/>
  <c r="E26" i="2"/>
  <c r="E25" i="2"/>
  <c r="E24" i="2"/>
  <c r="L21" i="2"/>
  <c r="E23" i="2"/>
  <c r="L20" i="2"/>
  <c r="E22" i="2"/>
  <c r="E21" i="2"/>
  <c r="E20" i="2"/>
  <c r="E19" i="2"/>
  <c r="E18" i="2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I26" i="2" s="1"/>
  <c r="L22" i="2" l="1"/>
  <c r="L24" i="2" s="1"/>
  <c r="I20" i="2"/>
  <c r="I21" i="2" s="1"/>
  <c r="I23" i="2"/>
  <c r="I24" i="2" s="1"/>
  <c r="I27" i="2" s="1"/>
  <c r="I20" i="3"/>
  <c r="I21" i="3" s="1"/>
  <c r="I26" i="3"/>
  <c r="I27" i="3" s="1"/>
  <c r="I29" i="3" s="1"/>
  <c r="F3" i="2"/>
  <c r="I29" i="2" l="1"/>
  <c r="I35" i="2" s="1"/>
  <c r="I31" i="3"/>
  <c r="L34" i="3" s="1"/>
  <c r="L35" i="3" s="1"/>
  <c r="I35" i="3"/>
  <c r="I31" i="2" l="1"/>
  <c r="L34" i="2" s="1"/>
  <c r="L35" i="2" s="1"/>
</calcChain>
</file>

<file path=xl/sharedStrings.xml><?xml version="1.0" encoding="utf-8"?>
<sst xmlns="http://schemas.openxmlformats.org/spreadsheetml/2006/main" count="206" uniqueCount="100">
  <si>
    <t>UC title</t>
  </si>
  <si>
    <t>Actors Weight</t>
  </si>
  <si>
    <t>Transactions</t>
  </si>
  <si>
    <t>UC Weight</t>
  </si>
  <si>
    <t>UUCP</t>
  </si>
  <si>
    <t>Compose an order (customer)</t>
  </si>
  <si>
    <t>Manage modify (customer)</t>
  </si>
  <si>
    <t>Schedule appointment (customer)</t>
  </si>
  <si>
    <t>Compose an order (employee)</t>
  </si>
  <si>
    <t>Manage modify (employee)</t>
  </si>
  <si>
    <t>Recharge virtual wallet (employee)</t>
  </si>
  <si>
    <t>View pickup schedule (employee)</t>
  </si>
  <si>
    <t>Register pickup (employee)</t>
  </si>
  <si>
    <t>Register delivery (employee)</t>
  </si>
  <si>
    <t>Confirm order ready to pick up (employee)</t>
  </si>
  <si>
    <t>Insert products (farmer)</t>
  </si>
  <si>
    <t>Confirm availability (farmer)</t>
  </si>
  <si>
    <t>Modify availability (farmer)</t>
  </si>
  <si>
    <t>Factor</t>
  </si>
  <si>
    <t>Description</t>
  </si>
  <si>
    <t>Weight</t>
  </si>
  <si>
    <t>Rating (0-5)</t>
  </si>
  <si>
    <t>TF (W*R)</t>
  </si>
  <si>
    <t>Effort Computation</t>
  </si>
  <si>
    <t>Lookup tables</t>
  </si>
  <si>
    <t>T1</t>
  </si>
  <si>
    <t>Distributed System</t>
  </si>
  <si>
    <t>Productivity Norms</t>
  </si>
  <si>
    <t>Actor weights</t>
  </si>
  <si>
    <t>Ratings</t>
  </si>
  <si>
    <t>T2</t>
  </si>
  <si>
    <t>Response Time</t>
  </si>
  <si>
    <t>T3</t>
  </si>
  <si>
    <t>End User Efficiency</t>
  </si>
  <si>
    <t>Context factors</t>
  </si>
  <si>
    <t>Productivity norms</t>
  </si>
  <si>
    <t>PN1</t>
  </si>
  <si>
    <t>T4</t>
  </si>
  <si>
    <t>Complex Internal Processing</t>
  </si>
  <si>
    <t>PN2</t>
  </si>
  <si>
    <t>T5</t>
  </si>
  <si>
    <t>Reusable Code is a Focus</t>
  </si>
  <si>
    <t>T Factor</t>
  </si>
  <si>
    <t>n1</t>
  </si>
  <si>
    <t>PN3</t>
  </si>
  <si>
    <t>T6</t>
  </si>
  <si>
    <t>Easy to install</t>
  </si>
  <si>
    <t>TCF</t>
  </si>
  <si>
    <t>n2</t>
  </si>
  <si>
    <t>T7</t>
  </si>
  <si>
    <t>Easy to use</t>
  </si>
  <si>
    <t>n1+n2</t>
  </si>
  <si>
    <t>T8</t>
  </si>
  <si>
    <t>Cross-platform support</t>
  </si>
  <si>
    <t>E Factor</t>
  </si>
  <si>
    <t>T9</t>
  </si>
  <si>
    <t>Easy to change</t>
  </si>
  <si>
    <t>ECF</t>
  </si>
  <si>
    <t>Productivity</t>
  </si>
  <si>
    <t>PH / UCP</t>
  </si>
  <si>
    <t>T10</t>
  </si>
  <si>
    <t>Concurrent</t>
  </si>
  <si>
    <t>T11</t>
  </si>
  <si>
    <t>Includes Security Features</t>
  </si>
  <si>
    <t>T12</t>
  </si>
  <si>
    <t>Provides Access for 3rd parties</t>
  </si>
  <si>
    <t>UCP</t>
  </si>
  <si>
    <t>T13</t>
  </si>
  <si>
    <t>User Training Required</t>
  </si>
  <si>
    <t>Effort</t>
  </si>
  <si>
    <t>person hours</t>
  </si>
  <si>
    <t>equivalent to</t>
  </si>
  <si>
    <t>EF (W*R)</t>
  </si>
  <si>
    <t>person days</t>
  </si>
  <si>
    <t>developers in the team</t>
  </si>
  <si>
    <t>F1</t>
  </si>
  <si>
    <t>Familiarity With Project Domain</t>
  </si>
  <si>
    <t>projects in parallel</t>
  </si>
  <si>
    <t>F2</t>
  </si>
  <si>
    <t>Application Experience</t>
  </si>
  <si>
    <t xml:space="preserve">Person cost </t>
  </si>
  <si>
    <t>€/day</t>
  </si>
  <si>
    <t>FTE</t>
  </si>
  <si>
    <t>F3</t>
  </si>
  <si>
    <t>Object Oriented Experience</t>
  </si>
  <si>
    <t>calendar days</t>
  </si>
  <si>
    <t>F4</t>
  </si>
  <si>
    <t>Lead Analyst Capability</t>
  </si>
  <si>
    <t>Total cost</t>
  </si>
  <si>
    <t>weeks</t>
  </si>
  <si>
    <t>F5</t>
  </si>
  <si>
    <t>Motivation</t>
  </si>
  <si>
    <t>F6</t>
  </si>
  <si>
    <t>Stable requirements</t>
  </si>
  <si>
    <t>F7</t>
  </si>
  <si>
    <t>Part Time Workers</t>
  </si>
  <si>
    <t>F8</t>
  </si>
  <si>
    <t>Difficulty of programming language</t>
  </si>
  <si>
    <t>projects going on in the same time</t>
  </si>
  <si>
    <t>days of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</si>
</sst>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 &quot;* #,##0.00&quot; € &quot;;&quot;-&quot;* #,##0.00&quot; € &quot;;&quot; &quot;* &quot;-&quot;??&quot; € &quot;"/>
  </numFmts>
  <fonts count="7" x14ac:knownFonts="1">
    <font>
      <sz val="12"/>
      <color indexed="8"/>
      <name val="Calibri"/>
    </font>
    <font>
      <b/>
      <sz val="12"/>
      <color indexed="8"/>
      <name val="Calibri"/>
    </font>
    <font>
      <b/>
      <sz val="20"/>
      <color indexed="8"/>
      <name val="Calibri"/>
    </font>
    <font>
      <b/>
      <sz val="14"/>
      <color indexed="8"/>
      <name val="Calibri"/>
    </font>
    <font>
      <b/>
      <sz val="12"/>
      <color indexed="19"/>
      <name val="Calibri"/>
    </font>
    <font>
      <b/>
      <sz val="16"/>
      <color indexed="19"/>
      <name val="Calibri"/>
    </font>
    <font>
      <b/>
      <sz val="22"/>
      <color indexed="19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66">
    <xf numFmtId="0" fontId="0" fillId="0" borderId="0" xfId="0"/>
    <xf numFmtId="49" fontId="0" fillId="4" borderId="1" xfId="0" applyNumberFormat="1" applyFill="1" applyBorder="1"/>
    <xf numFmtId="0" fontId="0" fillId="4" borderId="1" xfId="0" applyFill="1" applyBorder="1"/>
    <xf numFmtId="49" fontId="0" fillId="5" borderId="1" xfId="0" applyNumberFormat="1" applyFill="1" applyBorder="1"/>
    <xf numFmtId="0" fontId="0" fillId="5" borderId="1" xfId="0" applyFill="1" applyBorder="1"/>
    <xf numFmtId="49" fontId="0" fillId="6" borderId="1" xfId="0" applyNumberFormat="1" applyFill="1" applyBorder="1"/>
    <xf numFmtId="0" fontId="0" fillId="6" borderId="1" xfId="0" applyNumberFormat="1" applyFill="1" applyBorder="1"/>
    <xf numFmtId="0" fontId="0" fillId="4" borderId="1" xfId="0" applyNumberFormat="1" applyFill="1" applyBorder="1"/>
    <xf numFmtId="0" fontId="0" fillId="5" borderId="1" xfId="0" applyNumberFormat="1" applyFill="1" applyBorder="1"/>
    <xf numFmtId="0" fontId="1" fillId="4" borderId="1" xfId="0" applyNumberFormat="1" applyFont="1" applyFill="1" applyBorder="1"/>
    <xf numFmtId="0" fontId="1" fillId="3" borderId="1" xfId="0" applyNumberFormat="1" applyFont="1" applyFill="1" applyBorder="1"/>
    <xf numFmtId="0" fontId="0" fillId="0" borderId="1" xfId="0" applyNumberFormat="1" applyBorder="1"/>
    <xf numFmtId="0" fontId="1" fillId="0" borderId="1" xfId="0" applyFont="1" applyBorder="1"/>
    <xf numFmtId="49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4" fillId="2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0" fillId="0" borderId="5" xfId="0" applyNumberFormat="1" applyBorder="1"/>
    <xf numFmtId="0" fontId="0" fillId="0" borderId="7" xfId="0" applyNumberFormat="1" applyBorder="1"/>
    <xf numFmtId="49" fontId="0" fillId="0" borderId="2" xfId="0" applyNumberFormat="1" applyBorder="1"/>
    <xf numFmtId="0" fontId="0" fillId="0" borderId="9" xfId="0" applyNumberFormat="1" applyBorder="1"/>
    <xf numFmtId="2" fontId="1" fillId="0" borderId="5" xfId="0" applyNumberFormat="1" applyFont="1" applyBorder="1"/>
    <xf numFmtId="49" fontId="0" fillId="0" borderId="6" xfId="0" applyNumberFormat="1" applyBorder="1"/>
    <xf numFmtId="0" fontId="0" fillId="0" borderId="7" xfId="0" applyBorder="1"/>
    <xf numFmtId="2" fontId="0" fillId="0" borderId="2" xfId="0" applyNumberFormat="1" applyBorder="1"/>
    <xf numFmtId="49" fontId="0" fillId="0" borderId="9" xfId="0" applyNumberFormat="1" applyBorder="1"/>
    <xf numFmtId="49" fontId="0" fillId="0" borderId="7" xfId="0" applyNumberFormat="1" applyBorder="1"/>
    <xf numFmtId="49" fontId="1" fillId="7" borderId="4" xfId="0" applyNumberFormat="1" applyFont="1" applyFill="1" applyBorder="1"/>
    <xf numFmtId="0" fontId="0" fillId="7" borderId="6" xfId="0" applyNumberFormat="1" applyFill="1" applyBorder="1"/>
    <xf numFmtId="49" fontId="1" fillId="0" borderId="8" xfId="0" applyNumberFormat="1" applyFont="1" applyBorder="1"/>
    <xf numFmtId="2" fontId="1" fillId="0" borderId="9" xfId="0" applyNumberFormat="1" applyFont="1" applyBorder="1"/>
    <xf numFmtId="0" fontId="0" fillId="0" borderId="11" xfId="0" applyNumberFormat="1" applyBorder="1"/>
    <xf numFmtId="0" fontId="0" fillId="0" borderId="12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0" fontId="0" fillId="3" borderId="11" xfId="0" applyNumberFormat="1" applyFill="1" applyBorder="1"/>
    <xf numFmtId="0" fontId="0" fillId="3" borderId="12" xfId="0" applyNumberFormat="1" applyFill="1" applyBorder="1"/>
    <xf numFmtId="0" fontId="1" fillId="0" borderId="3" xfId="0" applyFont="1" applyBorder="1"/>
    <xf numFmtId="49" fontId="0" fillId="0" borderId="3" xfId="0" applyNumberFormat="1" applyBorder="1"/>
    <xf numFmtId="49" fontId="1" fillId="2" borderId="3" xfId="0" applyNumberFormat="1" applyFont="1" applyFill="1" applyBorder="1" applyAlignment="1">
      <alignment horizontal="right" vertical="top" wrapText="1"/>
    </xf>
    <xf numFmtId="49" fontId="1" fillId="0" borderId="13" xfId="0" applyNumberFormat="1" applyFont="1" applyBorder="1" applyAlignment="1">
      <alignment horizontal="right"/>
    </xf>
    <xf numFmtId="49" fontId="1" fillId="0" borderId="3" xfId="0" applyNumberFormat="1" applyFont="1" applyBorder="1"/>
    <xf numFmtId="49" fontId="1" fillId="0" borderId="10" xfId="0" applyNumberFormat="1" applyFont="1" applyBorder="1"/>
    <xf numFmtId="49" fontId="1" fillId="0" borderId="3" xfId="0" applyNumberFormat="1" applyFont="1" applyBorder="1" applyAlignment="1">
      <alignment horizontal="right"/>
    </xf>
    <xf numFmtId="49" fontId="1" fillId="0" borderId="13" xfId="0" applyNumberFormat="1" applyFont="1" applyBorder="1"/>
    <xf numFmtId="0" fontId="1" fillId="0" borderId="11" xfId="0" applyFont="1" applyBorder="1"/>
    <xf numFmtId="0" fontId="0" fillId="0" borderId="12" xfId="0" applyBorder="1"/>
    <xf numFmtId="2" fontId="1" fillId="0" borderId="10" xfId="0" applyNumberFormat="1" applyFont="1" applyBorder="1"/>
    <xf numFmtId="49" fontId="0" fillId="0" borderId="11" xfId="0" applyNumberFormat="1" applyBorder="1" applyAlignment="1">
      <alignment horizontal="right"/>
    </xf>
    <xf numFmtId="2" fontId="0" fillId="0" borderId="12" xfId="0" applyNumberFormat="1" applyBorder="1"/>
    <xf numFmtId="0" fontId="0" fillId="3" borderId="10" xfId="0" applyNumberFormat="1" applyFill="1" applyBorder="1"/>
    <xf numFmtId="164" fontId="0" fillId="3" borderId="11" xfId="0" applyNumberFormat="1" applyFill="1" applyBorder="1"/>
    <xf numFmtId="164" fontId="0" fillId="3" borderId="12" xfId="0" applyNumberFormat="1" applyFill="1" applyBorder="1"/>
    <xf numFmtId="0" fontId="0" fillId="0" borderId="10" xfId="0" applyNumberFormat="1" applyBorder="1"/>
    <xf numFmtId="0" fontId="0" fillId="0" borderId="11" xfId="0" applyBorder="1"/>
    <xf numFmtId="0" fontId="0" fillId="0" borderId="6" xfId="0" applyBorder="1"/>
    <xf numFmtId="0" fontId="0" fillId="0" borderId="9" xfId="0" applyBorder="1"/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E2EEDA"/>
      <rgbColor rgb="FFFBE4D5"/>
      <rgbColor rgb="FFFFF2CB"/>
      <rgbColor rgb="FFCFCFCF"/>
      <rgbColor rgb="FFD9E2F3"/>
      <rgbColor rgb="FFFF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0"/>
  <sheetViews>
    <sheetView showGridLines="0" tabSelected="1" topLeftCell="A19" workbookViewId="0">
      <selection activeCell="J36" sqref="J36"/>
    </sheetView>
  </sheetViews>
  <sheetFormatPr defaultColWidth="10.69921875" defaultRowHeight="15.45" customHeight="1" x14ac:dyDescent="0.3"/>
  <cols>
    <col min="1" max="1" width="6.69921875" style="11" customWidth="1"/>
    <col min="2" max="2" width="30.5" style="11" customWidth="1"/>
    <col min="3" max="3" width="9.69921875" style="11" customWidth="1"/>
    <col min="4" max="4" width="11.296875" style="11" customWidth="1"/>
    <col min="5" max="8" width="10.69921875" style="11" customWidth="1"/>
    <col min="9" max="9" width="22.5" style="11" customWidth="1"/>
    <col min="10" max="10" width="13.5" style="11" customWidth="1"/>
    <col min="11" max="11" width="10.69921875" style="11" customWidth="1"/>
    <col min="12" max="12" width="6.69921875" style="11" customWidth="1"/>
    <col min="13" max="17" width="10.69921875" style="11" customWidth="1"/>
    <col min="18" max="18" width="8.296875" style="11" customWidth="1"/>
    <col min="19" max="19" width="8.69921875" style="11" customWidth="1"/>
    <col min="20" max="24" width="10.69921875" style="11" customWidth="1"/>
    <col min="25" max="16384" width="10.69921875" style="11"/>
  </cols>
  <sheetData>
    <row r="1" spans="1:23" ht="31.95" customHeight="1" x14ac:dyDescent="0.3"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3" customHeight="1" x14ac:dyDescent="0.3">
      <c r="A2" s="46"/>
      <c r="B2" s="47" t="s">
        <v>0</v>
      </c>
      <c r="C2" s="48" t="s">
        <v>1</v>
      </c>
      <c r="D2" s="50" t="s">
        <v>2</v>
      </c>
      <c r="E2" s="50" t="s">
        <v>3</v>
      </c>
      <c r="F2" s="49" t="s">
        <v>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3" customHeight="1" x14ac:dyDescent="0.3">
      <c r="A3" s="39">
        <v>1</v>
      </c>
      <c r="B3" s="42" t="s">
        <v>5</v>
      </c>
      <c r="C3" s="44">
        <v>3</v>
      </c>
      <c r="D3" s="44">
        <v>5</v>
      </c>
      <c r="E3" s="39">
        <f t="shared" ref="E3:E15" si="0">IF(D3="","",IF(D3&lt;4,5,IF(D3&lt;=7,10,15)))</f>
        <v>10</v>
      </c>
      <c r="F3" s="26">
        <f t="shared" ref="F3:F15" si="1">IF(E3&lt;&gt;"",E3+C3,"")</f>
        <v>13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3" customHeight="1" x14ac:dyDescent="0.3">
      <c r="A4" s="39">
        <v>2</v>
      </c>
      <c r="B4" s="42" t="s">
        <v>6</v>
      </c>
      <c r="C4" s="44">
        <v>3</v>
      </c>
      <c r="D4" s="44">
        <v>3</v>
      </c>
      <c r="E4" s="39">
        <f t="shared" si="0"/>
        <v>5</v>
      </c>
      <c r="F4" s="26">
        <f t="shared" si="1"/>
        <v>8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3" customHeight="1" x14ac:dyDescent="0.3">
      <c r="A5" s="39">
        <v>3</v>
      </c>
      <c r="B5" s="42" t="s">
        <v>7</v>
      </c>
      <c r="C5" s="44">
        <v>3</v>
      </c>
      <c r="D5" s="44">
        <v>3</v>
      </c>
      <c r="E5" s="39">
        <f t="shared" si="0"/>
        <v>5</v>
      </c>
      <c r="F5" s="26">
        <f t="shared" si="1"/>
        <v>8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3" customHeight="1" x14ac:dyDescent="0.3">
      <c r="A6" s="39">
        <v>4</v>
      </c>
      <c r="B6" s="42" t="s">
        <v>8</v>
      </c>
      <c r="C6" s="44">
        <v>3</v>
      </c>
      <c r="D6" s="44">
        <v>5</v>
      </c>
      <c r="E6" s="39">
        <f t="shared" si="0"/>
        <v>10</v>
      </c>
      <c r="F6" s="26">
        <f t="shared" si="1"/>
        <v>13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3" customHeight="1" x14ac:dyDescent="0.3">
      <c r="A7" s="39">
        <v>5</v>
      </c>
      <c r="B7" s="42" t="s">
        <v>9</v>
      </c>
      <c r="C7" s="44">
        <v>3</v>
      </c>
      <c r="D7" s="44">
        <v>3</v>
      </c>
      <c r="E7" s="39">
        <f t="shared" si="0"/>
        <v>5</v>
      </c>
      <c r="F7" s="26">
        <f t="shared" si="1"/>
        <v>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3" customHeight="1" x14ac:dyDescent="0.3">
      <c r="A8" s="39">
        <v>6</v>
      </c>
      <c r="B8" s="42" t="s">
        <v>10</v>
      </c>
      <c r="C8" s="44">
        <v>3</v>
      </c>
      <c r="D8" s="44">
        <v>3</v>
      </c>
      <c r="E8" s="39">
        <f t="shared" si="0"/>
        <v>5</v>
      </c>
      <c r="F8" s="26">
        <f t="shared" si="1"/>
        <v>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3" customHeight="1" x14ac:dyDescent="0.3">
      <c r="A9" s="39">
        <v>7</v>
      </c>
      <c r="B9" s="42" t="s">
        <v>11</v>
      </c>
      <c r="C9" s="44">
        <v>3</v>
      </c>
      <c r="D9" s="44">
        <v>2</v>
      </c>
      <c r="E9" s="39">
        <f t="shared" si="0"/>
        <v>5</v>
      </c>
      <c r="F9" s="26">
        <f t="shared" si="1"/>
        <v>8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3" customHeight="1" x14ac:dyDescent="0.3">
      <c r="A10" s="39">
        <v>8</v>
      </c>
      <c r="B10" s="42" t="s">
        <v>12</v>
      </c>
      <c r="C10" s="44">
        <v>3</v>
      </c>
      <c r="D10" s="44">
        <v>4</v>
      </c>
      <c r="E10" s="39">
        <f t="shared" si="0"/>
        <v>10</v>
      </c>
      <c r="F10" s="26">
        <f t="shared" si="1"/>
        <v>13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3" customHeight="1" x14ac:dyDescent="0.3">
      <c r="A11" s="39">
        <v>9</v>
      </c>
      <c r="B11" s="42" t="s">
        <v>13</v>
      </c>
      <c r="C11" s="44">
        <v>3</v>
      </c>
      <c r="D11" s="44">
        <v>4</v>
      </c>
      <c r="E11" s="39">
        <f t="shared" si="0"/>
        <v>10</v>
      </c>
      <c r="F11" s="26">
        <f t="shared" si="1"/>
        <v>13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3" customHeight="1" x14ac:dyDescent="0.3">
      <c r="A12" s="39">
        <v>10</v>
      </c>
      <c r="B12" s="42" t="s">
        <v>14</v>
      </c>
      <c r="C12" s="44">
        <v>3</v>
      </c>
      <c r="D12" s="44">
        <v>3</v>
      </c>
      <c r="E12" s="39">
        <f t="shared" si="0"/>
        <v>5</v>
      </c>
      <c r="F12" s="26">
        <f t="shared" si="1"/>
        <v>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3" customHeight="1" x14ac:dyDescent="0.3">
      <c r="A13" s="39">
        <v>11</v>
      </c>
      <c r="B13" s="42" t="s">
        <v>15</v>
      </c>
      <c r="C13" s="44">
        <v>3</v>
      </c>
      <c r="D13" s="44">
        <v>3</v>
      </c>
      <c r="E13" s="39">
        <f t="shared" si="0"/>
        <v>5</v>
      </c>
      <c r="F13" s="26">
        <f t="shared" si="1"/>
        <v>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3" customHeight="1" x14ac:dyDescent="0.3">
      <c r="A14" s="39">
        <v>12</v>
      </c>
      <c r="B14" s="42" t="s">
        <v>16</v>
      </c>
      <c r="C14" s="44">
        <v>3</v>
      </c>
      <c r="D14" s="44">
        <v>3</v>
      </c>
      <c r="E14" s="39">
        <f t="shared" si="0"/>
        <v>5</v>
      </c>
      <c r="F14" s="26">
        <f t="shared" si="1"/>
        <v>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25.8" customHeight="1" x14ac:dyDescent="0.5">
      <c r="A15" s="40">
        <v>13</v>
      </c>
      <c r="B15" s="43" t="s">
        <v>17</v>
      </c>
      <c r="C15" s="45">
        <v>3</v>
      </c>
      <c r="D15" s="45">
        <v>4</v>
      </c>
      <c r="E15" s="40">
        <f t="shared" si="0"/>
        <v>10</v>
      </c>
      <c r="F15" s="28">
        <f t="shared" si="1"/>
        <v>13</v>
      </c>
      <c r="G15" s="15"/>
      <c r="H15" s="16" t="s">
        <v>23</v>
      </c>
      <c r="I15" s="17"/>
      <c r="J15" s="17"/>
      <c r="K15" s="15"/>
      <c r="L15" s="15"/>
      <c r="M15" s="15"/>
      <c r="N15" s="15"/>
      <c r="O15" s="15"/>
      <c r="P15" s="15"/>
      <c r="Q15" s="15"/>
      <c r="R15" s="18" t="s">
        <v>24</v>
      </c>
      <c r="S15" s="19"/>
      <c r="T15" s="15"/>
      <c r="U15" s="15"/>
      <c r="V15" s="15"/>
      <c r="W15" s="15"/>
    </row>
    <row r="16" spans="1:23" ht="15.3" customHeight="1" x14ac:dyDescent="0.3"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4" t="s">
        <v>27</v>
      </c>
      <c r="S16" s="15"/>
      <c r="T16" s="15"/>
      <c r="U16" s="14" t="s">
        <v>28</v>
      </c>
      <c r="V16" s="15"/>
      <c r="W16" s="14" t="s">
        <v>29</v>
      </c>
    </row>
    <row r="17" spans="1:23" ht="15.3" customHeight="1" x14ac:dyDescent="0.3">
      <c r="A17" s="50" t="s">
        <v>18</v>
      </c>
      <c r="B17" s="50" t="s">
        <v>19</v>
      </c>
      <c r="C17" s="52" t="s">
        <v>20</v>
      </c>
      <c r="D17" s="49" t="s">
        <v>21</v>
      </c>
      <c r="E17" s="52" t="s">
        <v>22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2"/>
      <c r="S17" s="15"/>
      <c r="T17" s="15"/>
      <c r="U17" s="12"/>
      <c r="V17" s="15"/>
      <c r="W17" s="12"/>
    </row>
    <row r="18" spans="1:23" ht="15.3" customHeight="1" x14ac:dyDescent="0.3">
      <c r="A18" s="41" t="s">
        <v>25</v>
      </c>
      <c r="B18" s="41" t="s">
        <v>26</v>
      </c>
      <c r="C18" s="62">
        <v>2</v>
      </c>
      <c r="D18" s="59">
        <v>5</v>
      </c>
      <c r="E18" s="39">
        <f t="shared" ref="E18:E30" si="2">D18*C18</f>
        <v>10</v>
      </c>
      <c r="F18" s="15"/>
      <c r="G18" s="15"/>
      <c r="H18" s="1" t="s">
        <v>34</v>
      </c>
      <c r="I18" s="2"/>
      <c r="J18" s="15"/>
      <c r="K18" s="3" t="s">
        <v>35</v>
      </c>
      <c r="L18" s="4"/>
      <c r="M18" s="4"/>
      <c r="N18" s="15"/>
      <c r="O18" s="15"/>
      <c r="P18" s="15"/>
      <c r="Q18" s="15"/>
      <c r="R18" s="5" t="s">
        <v>36</v>
      </c>
      <c r="S18" s="6">
        <v>10</v>
      </c>
      <c r="T18" s="15"/>
      <c r="U18" s="6">
        <v>1</v>
      </c>
      <c r="V18" s="15"/>
      <c r="W18" s="6">
        <v>0</v>
      </c>
    </row>
    <row r="19" spans="1:23" ht="15.3" customHeight="1" x14ac:dyDescent="0.3">
      <c r="A19" s="42" t="s">
        <v>30</v>
      </c>
      <c r="B19" s="42" t="s">
        <v>31</v>
      </c>
      <c r="C19" s="39">
        <v>2</v>
      </c>
      <c r="D19" s="44">
        <v>3</v>
      </c>
      <c r="E19" s="39">
        <f t="shared" si="2"/>
        <v>6</v>
      </c>
      <c r="F19" s="15"/>
      <c r="G19" s="15"/>
      <c r="H19" s="2"/>
      <c r="I19" s="2"/>
      <c r="J19" s="15"/>
      <c r="K19" s="4"/>
      <c r="L19" s="4"/>
      <c r="M19" s="4"/>
      <c r="N19" s="15"/>
      <c r="O19" s="15"/>
      <c r="P19" s="15"/>
      <c r="Q19" s="15"/>
      <c r="R19" s="5" t="s">
        <v>39</v>
      </c>
      <c r="S19" s="6">
        <v>14</v>
      </c>
      <c r="T19" s="15"/>
      <c r="U19" s="6">
        <v>2</v>
      </c>
      <c r="V19" s="15"/>
      <c r="W19" s="6">
        <v>0.5</v>
      </c>
    </row>
    <row r="20" spans="1:23" ht="15.3" customHeight="1" x14ac:dyDescent="0.3">
      <c r="A20" s="42" t="s">
        <v>32</v>
      </c>
      <c r="B20" s="42" t="s">
        <v>33</v>
      </c>
      <c r="C20" s="39">
        <v>1</v>
      </c>
      <c r="D20" s="44">
        <v>4</v>
      </c>
      <c r="E20" s="39">
        <f t="shared" si="2"/>
        <v>4</v>
      </c>
      <c r="F20" s="15"/>
      <c r="G20" s="15"/>
      <c r="H20" s="1" t="s">
        <v>42</v>
      </c>
      <c r="I20" s="7">
        <f>SUM(E18:E30)</f>
        <v>41.5</v>
      </c>
      <c r="J20" s="15"/>
      <c r="K20" s="3" t="s">
        <v>43</v>
      </c>
      <c r="L20" s="8">
        <f>COUNTIF(D33:D38,"&lt;3")</f>
        <v>4</v>
      </c>
      <c r="M20" s="4"/>
      <c r="N20" s="15"/>
      <c r="O20" s="15"/>
      <c r="P20" s="15"/>
      <c r="Q20" s="15"/>
      <c r="R20" s="5" t="s">
        <v>44</v>
      </c>
      <c r="S20" s="6">
        <v>18</v>
      </c>
      <c r="T20" s="15"/>
      <c r="U20" s="6">
        <v>3</v>
      </c>
      <c r="V20" s="15"/>
      <c r="W20" s="6">
        <v>1</v>
      </c>
    </row>
    <row r="21" spans="1:23" ht="15.3" customHeight="1" x14ac:dyDescent="0.3">
      <c r="A21" s="42" t="s">
        <v>37</v>
      </c>
      <c r="B21" s="42" t="s">
        <v>38</v>
      </c>
      <c r="C21" s="39">
        <v>1</v>
      </c>
      <c r="D21" s="44">
        <v>1</v>
      </c>
      <c r="E21" s="39">
        <f t="shared" si="2"/>
        <v>1</v>
      </c>
      <c r="F21" s="15"/>
      <c r="G21" s="15"/>
      <c r="H21" s="1" t="s">
        <v>47</v>
      </c>
      <c r="I21" s="9">
        <f>0.6+0.01*I20</f>
        <v>1.0150000000000001</v>
      </c>
      <c r="J21" s="15"/>
      <c r="K21" s="3" t="s">
        <v>48</v>
      </c>
      <c r="L21" s="8">
        <f>COUNTIF(D39:D40,"&gt;3")</f>
        <v>0</v>
      </c>
      <c r="M21" s="4"/>
      <c r="N21" s="15"/>
      <c r="O21" s="15"/>
      <c r="P21" s="15"/>
      <c r="Q21" s="15"/>
      <c r="R21" s="15"/>
      <c r="S21" s="15"/>
      <c r="T21" s="15"/>
      <c r="U21" s="15"/>
      <c r="V21" s="15"/>
      <c r="W21" s="6">
        <v>1.5</v>
      </c>
    </row>
    <row r="22" spans="1:23" ht="15.3" customHeight="1" x14ac:dyDescent="0.3">
      <c r="A22" s="42" t="s">
        <v>40</v>
      </c>
      <c r="B22" s="42" t="s">
        <v>41</v>
      </c>
      <c r="C22" s="39">
        <v>1</v>
      </c>
      <c r="D22" s="44">
        <v>2</v>
      </c>
      <c r="E22" s="39">
        <f t="shared" si="2"/>
        <v>2</v>
      </c>
      <c r="F22" s="15"/>
      <c r="G22" s="15"/>
      <c r="H22" s="2"/>
      <c r="I22" s="2"/>
      <c r="J22" s="15"/>
      <c r="K22" s="3" t="s">
        <v>51</v>
      </c>
      <c r="L22" s="8">
        <f>SUM(L20:L21)</f>
        <v>4</v>
      </c>
      <c r="M22" s="4"/>
      <c r="N22" s="15"/>
      <c r="O22" s="15"/>
      <c r="P22" s="15"/>
      <c r="Q22" s="15"/>
      <c r="R22" s="15"/>
      <c r="S22" s="15"/>
      <c r="T22" s="15"/>
      <c r="U22" s="15"/>
      <c r="V22" s="15"/>
      <c r="W22" s="6">
        <v>2</v>
      </c>
    </row>
    <row r="23" spans="1:23" ht="15.3" customHeight="1" x14ac:dyDescent="0.3">
      <c r="A23" s="42" t="s">
        <v>45</v>
      </c>
      <c r="B23" s="42" t="s">
        <v>46</v>
      </c>
      <c r="C23" s="39">
        <v>0.5</v>
      </c>
      <c r="D23" s="44">
        <v>4</v>
      </c>
      <c r="E23" s="39">
        <f t="shared" si="2"/>
        <v>2</v>
      </c>
      <c r="F23" s="15"/>
      <c r="G23" s="15"/>
      <c r="H23" s="1" t="s">
        <v>54</v>
      </c>
      <c r="I23" s="7">
        <f>SUM(E33:E40)</f>
        <v>11.5</v>
      </c>
      <c r="J23" s="15"/>
      <c r="K23" s="4"/>
      <c r="L23" s="4"/>
      <c r="M23" s="4"/>
      <c r="N23" s="15"/>
      <c r="O23" s="15"/>
      <c r="P23" s="15"/>
      <c r="Q23" s="15"/>
      <c r="R23" s="15"/>
      <c r="S23" s="15"/>
      <c r="T23" s="15"/>
      <c r="U23" s="15"/>
      <c r="V23" s="15"/>
      <c r="W23" s="6">
        <v>2.5</v>
      </c>
    </row>
    <row r="24" spans="1:23" ht="15.3" customHeight="1" x14ac:dyDescent="0.3">
      <c r="A24" s="42" t="s">
        <v>49</v>
      </c>
      <c r="B24" s="42" t="s">
        <v>50</v>
      </c>
      <c r="C24" s="39">
        <v>0.5</v>
      </c>
      <c r="D24" s="44">
        <v>5</v>
      </c>
      <c r="E24" s="39">
        <f t="shared" si="2"/>
        <v>2.5</v>
      </c>
      <c r="F24" s="15"/>
      <c r="G24" s="15"/>
      <c r="H24" s="1" t="s">
        <v>57</v>
      </c>
      <c r="I24" s="9">
        <f>1.4+(-0.03*I23)</f>
        <v>1.0549999999999999</v>
      </c>
      <c r="J24" s="15"/>
      <c r="K24" s="3" t="s">
        <v>58</v>
      </c>
      <c r="L24" s="8">
        <f>IF(L22&lt;=2,S18,IF(L22&lt;=4,S19,S20))</f>
        <v>14</v>
      </c>
      <c r="M24" s="3" t="s">
        <v>59</v>
      </c>
      <c r="N24" s="15"/>
      <c r="O24" s="15"/>
      <c r="P24" s="15"/>
      <c r="Q24" s="15"/>
      <c r="R24" s="15"/>
      <c r="S24" s="15"/>
      <c r="T24" s="15"/>
      <c r="U24" s="15"/>
      <c r="V24" s="15"/>
      <c r="W24" s="6">
        <v>3</v>
      </c>
    </row>
    <row r="25" spans="1:23" ht="15.3" customHeight="1" x14ac:dyDescent="0.3">
      <c r="A25" s="42" t="s">
        <v>52</v>
      </c>
      <c r="B25" s="42" t="s">
        <v>53</v>
      </c>
      <c r="C25" s="39">
        <v>2</v>
      </c>
      <c r="D25" s="44">
        <v>5</v>
      </c>
      <c r="E25" s="39">
        <f t="shared" si="2"/>
        <v>10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6">
        <v>3.5</v>
      </c>
    </row>
    <row r="26" spans="1:23" ht="15.3" customHeight="1" x14ac:dyDescent="0.3">
      <c r="A26" s="42" t="s">
        <v>55</v>
      </c>
      <c r="B26" s="42" t="s">
        <v>56</v>
      </c>
      <c r="C26" s="39">
        <v>1</v>
      </c>
      <c r="D26" s="44">
        <v>0</v>
      </c>
      <c r="E26" s="39">
        <f t="shared" si="2"/>
        <v>0</v>
      </c>
      <c r="F26" s="15"/>
      <c r="G26" s="15"/>
      <c r="H26" s="35" t="s">
        <v>4</v>
      </c>
      <c r="I26" s="36">
        <f>IF(E2&lt;&gt;"",SUM(C3:C15,E3:E15),0)</f>
        <v>129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6">
        <v>4</v>
      </c>
    </row>
    <row r="27" spans="1:23" ht="15.3" customHeight="1" x14ac:dyDescent="0.3">
      <c r="A27" s="42" t="s">
        <v>60</v>
      </c>
      <c r="B27" s="42" t="s">
        <v>61</v>
      </c>
      <c r="C27" s="39">
        <v>1</v>
      </c>
      <c r="D27" s="44">
        <v>3</v>
      </c>
      <c r="E27" s="39">
        <f t="shared" si="2"/>
        <v>3</v>
      </c>
      <c r="F27" s="15"/>
      <c r="G27" s="15"/>
      <c r="H27" s="37" t="s">
        <v>66</v>
      </c>
      <c r="I27" s="38">
        <f>I26*I21*I24</f>
        <v>138.136425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6">
        <v>4.5</v>
      </c>
    </row>
    <row r="28" spans="1:23" ht="15.3" customHeight="1" x14ac:dyDescent="0.3">
      <c r="A28" s="42" t="s">
        <v>62</v>
      </c>
      <c r="B28" s="42" t="s">
        <v>63</v>
      </c>
      <c r="C28" s="39">
        <v>1</v>
      </c>
      <c r="D28" s="44">
        <v>1</v>
      </c>
      <c r="E28" s="39">
        <f t="shared" si="2"/>
        <v>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6">
        <v>5</v>
      </c>
    </row>
    <row r="29" spans="1:23" ht="16.05" customHeight="1" x14ac:dyDescent="0.3">
      <c r="A29" s="42" t="s">
        <v>64</v>
      </c>
      <c r="B29" s="42" t="s">
        <v>65</v>
      </c>
      <c r="C29" s="39">
        <v>1</v>
      </c>
      <c r="D29" s="44">
        <v>0</v>
      </c>
      <c r="E29" s="39">
        <f t="shared" si="2"/>
        <v>0</v>
      </c>
      <c r="F29" s="15"/>
      <c r="G29" s="15"/>
      <c r="H29" s="51" t="s">
        <v>69</v>
      </c>
      <c r="I29" s="29">
        <f>I27*L24</f>
        <v>1933.90995</v>
      </c>
      <c r="J29" s="41" t="s">
        <v>70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6.05" customHeight="1" x14ac:dyDescent="0.3">
      <c r="A30" s="43" t="s">
        <v>67</v>
      </c>
      <c r="B30" s="43" t="s">
        <v>68</v>
      </c>
      <c r="C30" s="40">
        <v>1</v>
      </c>
      <c r="D30" s="45">
        <v>0</v>
      </c>
      <c r="E30" s="40">
        <f t="shared" si="2"/>
        <v>0</v>
      </c>
      <c r="F30" s="15"/>
      <c r="G30" s="15"/>
      <c r="H30" s="54"/>
      <c r="I30" s="20" t="s">
        <v>71</v>
      </c>
      <c r="J30" s="6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3" customHeight="1" x14ac:dyDescent="0.3">
      <c r="F31" s="15"/>
      <c r="G31" s="15"/>
      <c r="H31" s="55"/>
      <c r="I31" s="32">
        <f>I29/8</f>
        <v>241.73874375</v>
      </c>
      <c r="J31" s="43" t="s">
        <v>73</v>
      </c>
      <c r="K31" s="15"/>
      <c r="L31" s="59">
        <v>6</v>
      </c>
      <c r="M31" s="25" t="s">
        <v>74</v>
      </c>
      <c r="N31" s="64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3" customHeight="1" x14ac:dyDescent="0.3">
      <c r="A32" s="50" t="s">
        <v>18</v>
      </c>
      <c r="B32" s="50" t="s">
        <v>19</v>
      </c>
      <c r="C32" s="50" t="s">
        <v>20</v>
      </c>
      <c r="D32" s="50" t="s">
        <v>21</v>
      </c>
      <c r="E32" s="53" t="s">
        <v>72</v>
      </c>
      <c r="F32" s="15"/>
      <c r="G32" s="15"/>
      <c r="H32" s="15"/>
      <c r="I32" s="15"/>
      <c r="J32" s="15"/>
      <c r="K32" s="15"/>
      <c r="L32" s="44">
        <v>1</v>
      </c>
      <c r="M32" s="13" t="s">
        <v>77</v>
      </c>
      <c r="N32" s="31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3" customHeight="1" x14ac:dyDescent="0.3">
      <c r="A33" s="42" t="s">
        <v>75</v>
      </c>
      <c r="B33" s="42" t="s">
        <v>76</v>
      </c>
      <c r="C33" s="39">
        <v>1.5</v>
      </c>
      <c r="D33" s="44">
        <v>0</v>
      </c>
      <c r="E33" s="26">
        <f t="shared" ref="E33:E40" si="3">D33*C33</f>
        <v>0</v>
      </c>
      <c r="F33" s="15"/>
      <c r="G33" s="15"/>
      <c r="H33" s="14" t="s">
        <v>80</v>
      </c>
      <c r="I33" s="10">
        <v>250</v>
      </c>
      <c r="J33" s="13" t="s">
        <v>81</v>
      </c>
      <c r="K33" s="15"/>
      <c r="L33" s="44">
        <f>L31/L32</f>
        <v>6</v>
      </c>
      <c r="M33" s="13" t="s">
        <v>82</v>
      </c>
      <c r="N33" s="31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3" customHeight="1" x14ac:dyDescent="0.3">
      <c r="A34" s="42" t="s">
        <v>78</v>
      </c>
      <c r="B34" s="42" t="s">
        <v>79</v>
      </c>
      <c r="C34" s="39">
        <v>0.5</v>
      </c>
      <c r="D34" s="44">
        <v>0</v>
      </c>
      <c r="E34" s="26">
        <f t="shared" si="3"/>
        <v>0</v>
      </c>
      <c r="F34" s="15"/>
      <c r="G34" s="15"/>
      <c r="H34" s="15"/>
      <c r="I34" s="15"/>
      <c r="J34" s="15"/>
      <c r="K34" s="15"/>
      <c r="L34" s="60">
        <f>I31/L33</f>
        <v>40.289790625000002</v>
      </c>
      <c r="M34" s="13" t="s">
        <v>85</v>
      </c>
      <c r="N34" s="31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21" customHeight="1" x14ac:dyDescent="0.55000000000000004">
      <c r="A35" s="42" t="s">
        <v>83</v>
      </c>
      <c r="B35" s="42" t="s">
        <v>84</v>
      </c>
      <c r="C35" s="39">
        <v>1</v>
      </c>
      <c r="D35" s="44">
        <v>5</v>
      </c>
      <c r="E35" s="26">
        <f t="shared" si="3"/>
        <v>5</v>
      </c>
      <c r="F35" s="15"/>
      <c r="G35" s="15"/>
      <c r="H35" s="21" t="s">
        <v>88</v>
      </c>
      <c r="I35" s="22">
        <f>I29/8*I33</f>
        <v>60434.685937499999</v>
      </c>
      <c r="J35" s="23"/>
      <c r="K35" s="15"/>
      <c r="L35" s="61">
        <f>L34/5</f>
        <v>8.0579581250000007</v>
      </c>
      <c r="M35" s="27" t="s">
        <v>89</v>
      </c>
      <c r="N35" s="6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8" customHeight="1" x14ac:dyDescent="0.55000000000000004">
      <c r="A36" s="42" t="s">
        <v>86</v>
      </c>
      <c r="B36" s="42" t="s">
        <v>87</v>
      </c>
      <c r="C36" s="39">
        <v>0.5</v>
      </c>
      <c r="D36" s="44">
        <v>1</v>
      </c>
      <c r="E36" s="26">
        <f t="shared" si="3"/>
        <v>0.5</v>
      </c>
      <c r="F36" s="15"/>
      <c r="G36" s="15"/>
      <c r="H36" s="24"/>
      <c r="I36" s="23"/>
      <c r="J36" s="2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3" customHeight="1" x14ac:dyDescent="0.3">
      <c r="A37" s="42" t="s">
        <v>90</v>
      </c>
      <c r="B37" s="42" t="s">
        <v>91</v>
      </c>
      <c r="C37" s="39">
        <v>1</v>
      </c>
      <c r="D37" s="44">
        <v>4</v>
      </c>
      <c r="E37" s="26">
        <f t="shared" si="3"/>
        <v>4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3" customHeight="1" x14ac:dyDescent="0.3">
      <c r="A38" s="42" t="s">
        <v>92</v>
      </c>
      <c r="B38" s="42" t="s">
        <v>93</v>
      </c>
      <c r="C38" s="39">
        <v>2</v>
      </c>
      <c r="D38" s="44">
        <v>1</v>
      </c>
      <c r="E38" s="26">
        <f t="shared" si="3"/>
        <v>2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3" customHeight="1" x14ac:dyDescent="0.3">
      <c r="A39" s="42" t="s">
        <v>94</v>
      </c>
      <c r="B39" s="42" t="s">
        <v>95</v>
      </c>
      <c r="C39" s="39">
        <v>-1</v>
      </c>
      <c r="D39" s="44">
        <v>0</v>
      </c>
      <c r="E39" s="26">
        <f t="shared" si="3"/>
        <v>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45" customHeight="1" x14ac:dyDescent="0.3">
      <c r="A40" s="43" t="s">
        <v>96</v>
      </c>
      <c r="B40" s="43" t="s">
        <v>97</v>
      </c>
      <c r="C40" s="40">
        <v>-1</v>
      </c>
      <c r="D40" s="45">
        <v>0</v>
      </c>
      <c r="E40" s="28">
        <f t="shared" si="3"/>
        <v>0</v>
      </c>
    </row>
  </sheetData>
  <mergeCells count="2">
    <mergeCell ref="H15:J15"/>
    <mergeCell ref="R15:S15"/>
  </mergeCells>
  <dataValidations count="1">
    <dataValidation type="list" allowBlank="1" showInputMessage="1" showErrorMessage="1" sqref="D18:D30 D33:D40" xr:uid="{00000000-0002-0000-0100-000000000000}">
      <formula1>"0,1,2,3,4,5"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"/>
  <sheetViews>
    <sheetView showGridLines="0" topLeftCell="A16" workbookViewId="0">
      <selection activeCell="L37" sqref="L37:L38"/>
    </sheetView>
  </sheetViews>
  <sheetFormatPr defaultColWidth="10.69921875" defaultRowHeight="15.45" customHeight="1" x14ac:dyDescent="0.3"/>
  <cols>
    <col min="1" max="1" width="6.69921875" style="11" customWidth="1"/>
    <col min="2" max="2" width="30.5" style="11" customWidth="1"/>
    <col min="3" max="3" width="9.69921875" style="11" customWidth="1"/>
    <col min="4" max="4" width="11.296875" style="11" customWidth="1"/>
    <col min="5" max="8" width="10.69921875" style="11" customWidth="1"/>
    <col min="9" max="9" width="22.5" style="11" customWidth="1"/>
    <col min="10" max="10" width="13.5" style="11" customWidth="1"/>
    <col min="11" max="11" width="10.69921875" style="11" customWidth="1"/>
    <col min="12" max="12" width="5.3984375" style="11" bestFit="1" customWidth="1"/>
    <col min="13" max="13" width="30.3984375" style="11" bestFit="1" customWidth="1"/>
    <col min="14" max="17" width="10.69921875" style="11" customWidth="1"/>
    <col min="18" max="18" width="8.296875" style="11" customWidth="1"/>
    <col min="19" max="19" width="8.69921875" style="11" customWidth="1"/>
    <col min="20" max="24" width="10.69921875" style="11" customWidth="1"/>
    <col min="25" max="16384" width="10.69921875" style="11"/>
  </cols>
  <sheetData>
    <row r="1" spans="1:23" ht="31.95" customHeight="1" x14ac:dyDescent="0.3"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3" customHeight="1" x14ac:dyDescent="0.3">
      <c r="A2" s="46"/>
      <c r="B2" s="47" t="s">
        <v>0</v>
      </c>
      <c r="C2" s="48" t="s">
        <v>1</v>
      </c>
      <c r="D2" s="48" t="s">
        <v>2</v>
      </c>
      <c r="E2" s="50" t="s">
        <v>3</v>
      </c>
      <c r="F2" s="49" t="s">
        <v>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3" customHeight="1" x14ac:dyDescent="0.3">
      <c r="A3" s="39">
        <v>1</v>
      </c>
      <c r="B3" s="42" t="s">
        <v>5</v>
      </c>
      <c r="C3" s="44">
        <v>3</v>
      </c>
      <c r="D3" s="44">
        <v>5</v>
      </c>
      <c r="E3" s="39">
        <f t="shared" ref="E3:E15" si="0">IF(D3="","",IF(D3&lt;4,5,IF(D3&lt;=7,10,15)))</f>
        <v>10</v>
      </c>
      <c r="F3" s="26">
        <f t="shared" ref="F3:F15" si="1">IF(E3&lt;&gt;"",E3+C3,"")</f>
        <v>13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3" customHeight="1" x14ac:dyDescent="0.3">
      <c r="A4" s="39">
        <v>2</v>
      </c>
      <c r="B4" s="42" t="s">
        <v>6</v>
      </c>
      <c r="C4" s="44">
        <v>3</v>
      </c>
      <c r="D4" s="44">
        <v>3</v>
      </c>
      <c r="E4" s="39">
        <f t="shared" si="0"/>
        <v>5</v>
      </c>
      <c r="F4" s="26">
        <f t="shared" si="1"/>
        <v>8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3" customHeight="1" x14ac:dyDescent="0.3">
      <c r="A5" s="39">
        <v>3</v>
      </c>
      <c r="B5" s="42" t="s">
        <v>7</v>
      </c>
      <c r="C5" s="44">
        <v>3</v>
      </c>
      <c r="D5" s="44">
        <v>3</v>
      </c>
      <c r="E5" s="39">
        <f t="shared" si="0"/>
        <v>5</v>
      </c>
      <c r="F5" s="26">
        <f t="shared" si="1"/>
        <v>8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3" customHeight="1" x14ac:dyDescent="0.3">
      <c r="A6" s="39">
        <v>4</v>
      </c>
      <c r="B6" s="42" t="s">
        <v>8</v>
      </c>
      <c r="C6" s="44">
        <v>3</v>
      </c>
      <c r="D6" s="44">
        <v>5</v>
      </c>
      <c r="E6" s="39">
        <f t="shared" si="0"/>
        <v>10</v>
      </c>
      <c r="F6" s="26">
        <f t="shared" si="1"/>
        <v>13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3" customHeight="1" x14ac:dyDescent="0.3">
      <c r="A7" s="39">
        <v>5</v>
      </c>
      <c r="B7" s="42" t="s">
        <v>9</v>
      </c>
      <c r="C7" s="44">
        <v>3</v>
      </c>
      <c r="D7" s="44">
        <v>3</v>
      </c>
      <c r="E7" s="39">
        <f t="shared" si="0"/>
        <v>5</v>
      </c>
      <c r="F7" s="26">
        <f t="shared" si="1"/>
        <v>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3" customHeight="1" x14ac:dyDescent="0.3">
      <c r="A8" s="39">
        <v>6</v>
      </c>
      <c r="B8" s="42" t="s">
        <v>10</v>
      </c>
      <c r="C8" s="44">
        <v>3</v>
      </c>
      <c r="D8" s="44">
        <v>3</v>
      </c>
      <c r="E8" s="39">
        <f t="shared" si="0"/>
        <v>5</v>
      </c>
      <c r="F8" s="26">
        <f t="shared" si="1"/>
        <v>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3" customHeight="1" x14ac:dyDescent="0.3">
      <c r="A9" s="39">
        <v>7</v>
      </c>
      <c r="B9" s="42" t="s">
        <v>11</v>
      </c>
      <c r="C9" s="44">
        <v>3</v>
      </c>
      <c r="D9" s="44">
        <v>2</v>
      </c>
      <c r="E9" s="39">
        <f t="shared" si="0"/>
        <v>5</v>
      </c>
      <c r="F9" s="26">
        <f t="shared" si="1"/>
        <v>8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3" customHeight="1" x14ac:dyDescent="0.3">
      <c r="A10" s="39">
        <v>8</v>
      </c>
      <c r="B10" s="42" t="s">
        <v>12</v>
      </c>
      <c r="C10" s="44">
        <v>3</v>
      </c>
      <c r="D10" s="44">
        <v>4</v>
      </c>
      <c r="E10" s="39">
        <f t="shared" si="0"/>
        <v>10</v>
      </c>
      <c r="F10" s="26">
        <f t="shared" si="1"/>
        <v>13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3" customHeight="1" x14ac:dyDescent="0.3">
      <c r="A11" s="39">
        <v>9</v>
      </c>
      <c r="B11" s="42" t="s">
        <v>13</v>
      </c>
      <c r="C11" s="44">
        <v>3</v>
      </c>
      <c r="D11" s="44">
        <v>4</v>
      </c>
      <c r="E11" s="39">
        <f t="shared" si="0"/>
        <v>10</v>
      </c>
      <c r="F11" s="26">
        <f t="shared" si="1"/>
        <v>13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3" customHeight="1" x14ac:dyDescent="0.3">
      <c r="A12" s="39">
        <v>10</v>
      </c>
      <c r="B12" s="42" t="s">
        <v>14</v>
      </c>
      <c r="C12" s="44">
        <v>3</v>
      </c>
      <c r="D12" s="44">
        <v>3</v>
      </c>
      <c r="E12" s="39">
        <f t="shared" si="0"/>
        <v>5</v>
      </c>
      <c r="F12" s="26">
        <f t="shared" si="1"/>
        <v>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3" customHeight="1" x14ac:dyDescent="0.3">
      <c r="A13" s="39">
        <v>11</v>
      </c>
      <c r="B13" s="42" t="s">
        <v>15</v>
      </c>
      <c r="C13" s="44">
        <v>3</v>
      </c>
      <c r="D13" s="44">
        <v>3</v>
      </c>
      <c r="E13" s="39">
        <f t="shared" si="0"/>
        <v>5</v>
      </c>
      <c r="F13" s="26">
        <f t="shared" si="1"/>
        <v>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3" customHeight="1" x14ac:dyDescent="0.3">
      <c r="A14" s="39">
        <v>12</v>
      </c>
      <c r="B14" s="42" t="s">
        <v>16</v>
      </c>
      <c r="C14" s="44">
        <v>3</v>
      </c>
      <c r="D14" s="44">
        <v>3</v>
      </c>
      <c r="E14" s="39">
        <f t="shared" si="0"/>
        <v>5</v>
      </c>
      <c r="F14" s="26">
        <f t="shared" si="1"/>
        <v>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25.8" customHeight="1" x14ac:dyDescent="0.5">
      <c r="A15" s="40">
        <v>13</v>
      </c>
      <c r="B15" s="43" t="s">
        <v>17</v>
      </c>
      <c r="C15" s="45">
        <v>3</v>
      </c>
      <c r="D15" s="45">
        <v>4</v>
      </c>
      <c r="E15" s="40">
        <f t="shared" si="0"/>
        <v>10</v>
      </c>
      <c r="F15" s="28">
        <f t="shared" si="1"/>
        <v>13</v>
      </c>
      <c r="G15" s="15"/>
      <c r="H15" s="16" t="s">
        <v>23</v>
      </c>
      <c r="I15" s="17"/>
      <c r="J15" s="17"/>
      <c r="K15" s="15"/>
      <c r="L15" s="15"/>
      <c r="M15" s="15"/>
      <c r="N15" s="15"/>
      <c r="O15" s="15"/>
      <c r="P15" s="15"/>
      <c r="Q15" s="15"/>
      <c r="R15" s="18" t="s">
        <v>24</v>
      </c>
      <c r="S15" s="19"/>
      <c r="T15" s="15"/>
      <c r="U15" s="15"/>
      <c r="V15" s="15"/>
      <c r="W15" s="15"/>
    </row>
    <row r="16" spans="1:23" ht="15.3" customHeight="1" x14ac:dyDescent="0.3"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4" t="s">
        <v>27</v>
      </c>
      <c r="S16" s="15"/>
      <c r="T16" s="15"/>
      <c r="U16" s="14" t="s">
        <v>28</v>
      </c>
      <c r="V16" s="15"/>
      <c r="W16" s="14" t="s">
        <v>29</v>
      </c>
    </row>
    <row r="17" spans="1:23" ht="15.3" customHeight="1" x14ac:dyDescent="0.3">
      <c r="A17" s="50" t="s">
        <v>18</v>
      </c>
      <c r="B17" s="50" t="s">
        <v>19</v>
      </c>
      <c r="C17" s="52" t="s">
        <v>20</v>
      </c>
      <c r="D17" s="52" t="s">
        <v>21</v>
      </c>
      <c r="E17" s="49" t="s">
        <v>22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2"/>
      <c r="S17" s="15"/>
      <c r="T17" s="15"/>
      <c r="U17" s="12"/>
      <c r="V17" s="15"/>
      <c r="W17" s="12"/>
    </row>
    <row r="18" spans="1:23" ht="15.3" customHeight="1" x14ac:dyDescent="0.3">
      <c r="A18" s="42" t="s">
        <v>25</v>
      </c>
      <c r="B18" s="42" t="s">
        <v>26</v>
      </c>
      <c r="C18" s="39">
        <v>2</v>
      </c>
      <c r="D18" s="44">
        <v>5</v>
      </c>
      <c r="E18" s="26">
        <f t="shared" ref="E18:E30" si="2">D18*C18</f>
        <v>10</v>
      </c>
      <c r="F18" s="15"/>
      <c r="G18" s="15"/>
      <c r="H18" s="1" t="s">
        <v>34</v>
      </c>
      <c r="I18" s="2"/>
      <c r="J18" s="15"/>
      <c r="K18" s="3" t="s">
        <v>35</v>
      </c>
      <c r="L18" s="4"/>
      <c r="M18" s="4"/>
      <c r="N18" s="15"/>
      <c r="O18" s="15"/>
      <c r="P18" s="15"/>
      <c r="Q18" s="15"/>
      <c r="R18" s="5" t="s">
        <v>36</v>
      </c>
      <c r="S18" s="6">
        <v>10</v>
      </c>
      <c r="T18" s="15"/>
      <c r="U18" s="6">
        <v>1</v>
      </c>
      <c r="V18" s="15"/>
      <c r="W18" s="6">
        <v>0</v>
      </c>
    </row>
    <row r="19" spans="1:23" ht="15.3" customHeight="1" x14ac:dyDescent="0.3">
      <c r="A19" s="42" t="s">
        <v>30</v>
      </c>
      <c r="B19" s="42" t="s">
        <v>31</v>
      </c>
      <c r="C19" s="39">
        <v>2</v>
      </c>
      <c r="D19" s="44">
        <v>3</v>
      </c>
      <c r="E19" s="26">
        <f t="shared" si="2"/>
        <v>6</v>
      </c>
      <c r="F19" s="15"/>
      <c r="G19" s="15"/>
      <c r="H19" s="2"/>
      <c r="I19" s="2"/>
      <c r="J19" s="15"/>
      <c r="K19" s="4"/>
      <c r="L19" s="4"/>
      <c r="M19" s="4"/>
      <c r="N19" s="15"/>
      <c r="O19" s="15"/>
      <c r="P19" s="15"/>
      <c r="Q19" s="15"/>
      <c r="R19" s="5" t="s">
        <v>39</v>
      </c>
      <c r="S19" s="6">
        <v>14</v>
      </c>
      <c r="T19" s="15"/>
      <c r="U19" s="6">
        <v>2</v>
      </c>
      <c r="V19" s="15"/>
      <c r="W19" s="6">
        <v>0.5</v>
      </c>
    </row>
    <row r="20" spans="1:23" ht="15.3" customHeight="1" x14ac:dyDescent="0.3">
      <c r="A20" s="42" t="s">
        <v>32</v>
      </c>
      <c r="B20" s="42" t="s">
        <v>33</v>
      </c>
      <c r="C20" s="39">
        <v>1</v>
      </c>
      <c r="D20" s="44">
        <v>4</v>
      </c>
      <c r="E20" s="26">
        <f t="shared" si="2"/>
        <v>4</v>
      </c>
      <c r="F20" s="15"/>
      <c r="G20" s="15"/>
      <c r="H20" s="1" t="s">
        <v>42</v>
      </c>
      <c r="I20" s="7">
        <f>SUM(E18:E30)</f>
        <v>41.5</v>
      </c>
      <c r="J20" s="15"/>
      <c r="K20" s="3" t="s">
        <v>43</v>
      </c>
      <c r="L20" s="8">
        <f>COUNTIF(D33:D38,"&lt;3")</f>
        <v>2</v>
      </c>
      <c r="M20" s="4"/>
      <c r="N20" s="15"/>
      <c r="O20" s="15"/>
      <c r="P20" s="15"/>
      <c r="Q20" s="15"/>
      <c r="R20" s="5" t="s">
        <v>44</v>
      </c>
      <c r="S20" s="6">
        <v>18</v>
      </c>
      <c r="T20" s="15"/>
      <c r="U20" s="6">
        <v>3</v>
      </c>
      <c r="V20" s="15"/>
      <c r="W20" s="6">
        <v>1</v>
      </c>
    </row>
    <row r="21" spans="1:23" ht="15.3" customHeight="1" x14ac:dyDescent="0.3">
      <c r="A21" s="42" t="s">
        <v>37</v>
      </c>
      <c r="B21" s="42" t="s">
        <v>38</v>
      </c>
      <c r="C21" s="39">
        <v>1</v>
      </c>
      <c r="D21" s="44">
        <v>1</v>
      </c>
      <c r="E21" s="26">
        <f t="shared" si="2"/>
        <v>1</v>
      </c>
      <c r="F21" s="15"/>
      <c r="G21" s="15"/>
      <c r="H21" s="1" t="s">
        <v>47</v>
      </c>
      <c r="I21" s="9">
        <f>0.6+0.01*I20</f>
        <v>1.0150000000000001</v>
      </c>
      <c r="J21" s="15"/>
      <c r="K21" s="3" t="s">
        <v>48</v>
      </c>
      <c r="L21" s="8">
        <f>COUNTIF(D39:D40,"&gt;3")</f>
        <v>1</v>
      </c>
      <c r="M21" s="4"/>
      <c r="N21" s="15"/>
      <c r="O21" s="15"/>
      <c r="P21" s="15"/>
      <c r="Q21" s="15"/>
      <c r="R21" s="15"/>
      <c r="S21" s="15"/>
      <c r="T21" s="15"/>
      <c r="U21" s="15"/>
      <c r="V21" s="15"/>
      <c r="W21" s="6">
        <v>1.5</v>
      </c>
    </row>
    <row r="22" spans="1:23" ht="15.3" customHeight="1" x14ac:dyDescent="0.3">
      <c r="A22" s="42" t="s">
        <v>40</v>
      </c>
      <c r="B22" s="42" t="s">
        <v>41</v>
      </c>
      <c r="C22" s="39">
        <v>1</v>
      </c>
      <c r="D22" s="44">
        <v>2</v>
      </c>
      <c r="E22" s="26">
        <f t="shared" si="2"/>
        <v>2</v>
      </c>
      <c r="F22" s="15"/>
      <c r="G22" s="15"/>
      <c r="H22" s="2"/>
      <c r="I22" s="2"/>
      <c r="J22" s="15"/>
      <c r="K22" s="3" t="s">
        <v>51</v>
      </c>
      <c r="L22" s="8">
        <f>SUM(L20:L21)</f>
        <v>3</v>
      </c>
      <c r="M22" s="4"/>
      <c r="N22" s="15"/>
      <c r="O22" s="15"/>
      <c r="P22" s="15"/>
      <c r="Q22" s="15"/>
      <c r="R22" s="15"/>
      <c r="S22" s="15"/>
      <c r="T22" s="15"/>
      <c r="U22" s="15"/>
      <c r="V22" s="15"/>
      <c r="W22" s="6">
        <v>2</v>
      </c>
    </row>
    <row r="23" spans="1:23" ht="15.3" customHeight="1" x14ac:dyDescent="0.3">
      <c r="A23" s="42" t="s">
        <v>45</v>
      </c>
      <c r="B23" s="42" t="s">
        <v>46</v>
      </c>
      <c r="C23" s="39">
        <v>0.5</v>
      </c>
      <c r="D23" s="44">
        <v>4</v>
      </c>
      <c r="E23" s="26">
        <f t="shared" si="2"/>
        <v>2</v>
      </c>
      <c r="F23" s="15"/>
      <c r="G23" s="15"/>
      <c r="H23" s="1" t="s">
        <v>54</v>
      </c>
      <c r="I23" s="7">
        <f>SUM(E33:E40)</f>
        <v>16</v>
      </c>
      <c r="J23" s="15"/>
      <c r="K23" s="4"/>
      <c r="L23" s="4"/>
      <c r="M23" s="4"/>
      <c r="N23" s="15"/>
      <c r="O23" s="15"/>
      <c r="P23" s="15"/>
      <c r="Q23" s="15"/>
      <c r="R23" s="15"/>
      <c r="S23" s="15"/>
      <c r="T23" s="15"/>
      <c r="U23" s="15"/>
      <c r="V23" s="15"/>
      <c r="W23" s="6">
        <v>2.5</v>
      </c>
    </row>
    <row r="24" spans="1:23" ht="15.3" customHeight="1" x14ac:dyDescent="0.3">
      <c r="A24" s="42" t="s">
        <v>49</v>
      </c>
      <c r="B24" s="42" t="s">
        <v>50</v>
      </c>
      <c r="C24" s="39">
        <v>0.5</v>
      </c>
      <c r="D24" s="44">
        <v>5</v>
      </c>
      <c r="E24" s="26">
        <f t="shared" si="2"/>
        <v>2.5</v>
      </c>
      <c r="F24" s="15"/>
      <c r="G24" s="15"/>
      <c r="H24" s="1" t="s">
        <v>57</v>
      </c>
      <c r="I24" s="9">
        <f>1.4+(-0.03*I23)</f>
        <v>0.91999999999999993</v>
      </c>
      <c r="J24" s="15"/>
      <c r="K24" s="3" t="s">
        <v>58</v>
      </c>
      <c r="L24" s="8">
        <f>IF(L22&lt;=2,S18,IF(L22&lt;=4,S19,S20))</f>
        <v>14</v>
      </c>
      <c r="M24" s="3" t="s">
        <v>59</v>
      </c>
      <c r="N24" s="15"/>
      <c r="O24" s="15"/>
      <c r="P24" s="15"/>
      <c r="Q24" s="15"/>
      <c r="R24" s="15"/>
      <c r="S24" s="15"/>
      <c r="T24" s="15"/>
      <c r="U24" s="15"/>
      <c r="V24" s="15"/>
      <c r="W24" s="6">
        <v>3</v>
      </c>
    </row>
    <row r="25" spans="1:23" ht="15.3" customHeight="1" x14ac:dyDescent="0.3">
      <c r="A25" s="42" t="s">
        <v>52</v>
      </c>
      <c r="B25" s="42" t="s">
        <v>53</v>
      </c>
      <c r="C25" s="39">
        <v>2</v>
      </c>
      <c r="D25" s="44">
        <v>5</v>
      </c>
      <c r="E25" s="26">
        <f t="shared" si="2"/>
        <v>10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6">
        <v>3.5</v>
      </c>
    </row>
    <row r="26" spans="1:23" ht="15.3" customHeight="1" x14ac:dyDescent="0.3">
      <c r="A26" s="42" t="s">
        <v>55</v>
      </c>
      <c r="B26" s="42" t="s">
        <v>56</v>
      </c>
      <c r="C26" s="39">
        <v>1</v>
      </c>
      <c r="D26" s="44">
        <v>0</v>
      </c>
      <c r="E26" s="26">
        <f t="shared" si="2"/>
        <v>0</v>
      </c>
      <c r="F26" s="15"/>
      <c r="G26" s="15"/>
      <c r="H26" s="35" t="s">
        <v>4</v>
      </c>
      <c r="I26" s="36">
        <f>IF(E2&lt;&gt;"",SUM(C3:C15,E3:E15),0)</f>
        <v>129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6">
        <v>4</v>
      </c>
    </row>
    <row r="27" spans="1:23" ht="15.3" customHeight="1" x14ac:dyDescent="0.3">
      <c r="A27" s="42" t="s">
        <v>60</v>
      </c>
      <c r="B27" s="42" t="s">
        <v>61</v>
      </c>
      <c r="C27" s="39">
        <v>1</v>
      </c>
      <c r="D27" s="44">
        <v>3</v>
      </c>
      <c r="E27" s="26">
        <f t="shared" si="2"/>
        <v>3</v>
      </c>
      <c r="F27" s="15"/>
      <c r="G27" s="15"/>
      <c r="H27" s="37" t="s">
        <v>66</v>
      </c>
      <c r="I27" s="38">
        <f>I26*I21*I24</f>
        <v>120.46019999999999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6">
        <v>4.5</v>
      </c>
    </row>
    <row r="28" spans="1:23" ht="15.3" customHeight="1" x14ac:dyDescent="0.3">
      <c r="A28" s="42" t="s">
        <v>62</v>
      </c>
      <c r="B28" s="42" t="s">
        <v>63</v>
      </c>
      <c r="C28" s="39">
        <v>1</v>
      </c>
      <c r="D28" s="44">
        <v>1</v>
      </c>
      <c r="E28" s="26">
        <f t="shared" si="2"/>
        <v>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6">
        <v>5</v>
      </c>
    </row>
    <row r="29" spans="1:23" ht="16.05" customHeight="1" x14ac:dyDescent="0.3">
      <c r="A29" s="42" t="s">
        <v>64</v>
      </c>
      <c r="B29" s="42" t="s">
        <v>65</v>
      </c>
      <c r="C29" s="39">
        <v>1</v>
      </c>
      <c r="D29" s="44">
        <v>0</v>
      </c>
      <c r="E29" s="26">
        <f t="shared" si="2"/>
        <v>0</v>
      </c>
      <c r="F29" s="15"/>
      <c r="G29" s="15"/>
      <c r="H29" s="51" t="s">
        <v>69</v>
      </c>
      <c r="I29" s="56">
        <f>I27*L24</f>
        <v>1686.4427999999998</v>
      </c>
      <c r="J29" s="30" t="s">
        <v>70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6.05" customHeight="1" x14ac:dyDescent="0.3">
      <c r="A30" s="43" t="s">
        <v>67</v>
      </c>
      <c r="B30" s="43" t="s">
        <v>68</v>
      </c>
      <c r="C30" s="40">
        <v>1</v>
      </c>
      <c r="D30" s="45">
        <v>0</v>
      </c>
      <c r="E30" s="28">
        <f t="shared" si="2"/>
        <v>0</v>
      </c>
      <c r="F30" s="15"/>
      <c r="G30" s="15"/>
      <c r="H30" s="54"/>
      <c r="I30" s="57" t="s">
        <v>71</v>
      </c>
      <c r="J30" s="3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3" customHeight="1" x14ac:dyDescent="0.3">
      <c r="F31" s="15"/>
      <c r="G31" s="15"/>
      <c r="H31" s="55"/>
      <c r="I31" s="58">
        <f>I29/8</f>
        <v>210.80534999999998</v>
      </c>
      <c r="J31" s="33" t="s">
        <v>73</v>
      </c>
      <c r="K31" s="15"/>
      <c r="L31" s="59">
        <v>8</v>
      </c>
      <c r="M31" s="30" t="s">
        <v>74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3" customHeight="1" x14ac:dyDescent="0.3">
      <c r="A32" s="50" t="s">
        <v>18</v>
      </c>
      <c r="B32" s="50" t="s">
        <v>19</v>
      </c>
      <c r="C32" s="50" t="s">
        <v>20</v>
      </c>
      <c r="D32" s="50" t="s">
        <v>21</v>
      </c>
      <c r="E32" s="53" t="s">
        <v>72</v>
      </c>
      <c r="F32" s="15"/>
      <c r="G32" s="15"/>
      <c r="H32" s="15"/>
      <c r="I32" s="15"/>
      <c r="J32" s="15"/>
      <c r="K32" s="15"/>
      <c r="L32" s="44">
        <v>5</v>
      </c>
      <c r="M32" s="34" t="s">
        <v>98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3" customHeight="1" x14ac:dyDescent="0.3">
      <c r="A33" s="42" t="s">
        <v>75</v>
      </c>
      <c r="B33" s="42" t="s">
        <v>76</v>
      </c>
      <c r="C33" s="39">
        <v>1.5</v>
      </c>
      <c r="D33" s="44">
        <v>3</v>
      </c>
      <c r="E33" s="26">
        <f t="shared" ref="E33:E40" si="3">D33*C33</f>
        <v>4.5</v>
      </c>
      <c r="F33" s="15"/>
      <c r="G33" s="15"/>
      <c r="H33" s="14" t="s">
        <v>80</v>
      </c>
      <c r="I33" s="10">
        <v>100</v>
      </c>
      <c r="J33" s="13" t="s">
        <v>81</v>
      </c>
      <c r="K33" s="15"/>
      <c r="L33" s="44">
        <f>L31/L32</f>
        <v>1.6</v>
      </c>
      <c r="M33" s="34" t="s">
        <v>82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3" customHeight="1" x14ac:dyDescent="0.3">
      <c r="A34" s="42" t="s">
        <v>78</v>
      </c>
      <c r="B34" s="42" t="s">
        <v>79</v>
      </c>
      <c r="C34" s="39">
        <v>0.5</v>
      </c>
      <c r="D34" s="44">
        <v>0</v>
      </c>
      <c r="E34" s="26">
        <f t="shared" si="3"/>
        <v>0</v>
      </c>
      <c r="F34" s="15"/>
      <c r="G34" s="15"/>
      <c r="H34" s="15"/>
      <c r="I34" s="15"/>
      <c r="J34" s="15"/>
      <c r="K34" s="15"/>
      <c r="L34" s="60">
        <f>I31/L33</f>
        <v>131.75334374999997</v>
      </c>
      <c r="M34" s="34" t="s">
        <v>99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21" customHeight="1" x14ac:dyDescent="0.55000000000000004">
      <c r="A35" s="42" t="s">
        <v>83</v>
      </c>
      <c r="B35" s="42" t="s">
        <v>84</v>
      </c>
      <c r="C35" s="39">
        <v>1</v>
      </c>
      <c r="D35" s="44">
        <v>3</v>
      </c>
      <c r="E35" s="26">
        <f t="shared" si="3"/>
        <v>3</v>
      </c>
      <c r="F35" s="15"/>
      <c r="G35" s="15"/>
      <c r="H35" s="21" t="s">
        <v>88</v>
      </c>
      <c r="I35" s="22">
        <f>I29/8*I33</f>
        <v>21080.534999999996</v>
      </c>
      <c r="J35" s="23"/>
      <c r="K35" s="15"/>
      <c r="L35" s="61">
        <f>L34/5</f>
        <v>26.350668749999993</v>
      </c>
      <c r="M35" s="33" t="s">
        <v>89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8" customHeight="1" x14ac:dyDescent="0.55000000000000004">
      <c r="A36" s="42" t="s">
        <v>86</v>
      </c>
      <c r="B36" s="42" t="s">
        <v>87</v>
      </c>
      <c r="C36" s="39">
        <v>0.5</v>
      </c>
      <c r="D36" s="44">
        <v>5</v>
      </c>
      <c r="E36" s="26">
        <f t="shared" si="3"/>
        <v>2.5</v>
      </c>
      <c r="F36" s="15"/>
      <c r="G36" s="15"/>
      <c r="H36" s="24"/>
      <c r="I36" s="23"/>
      <c r="J36" s="2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3" customHeight="1" x14ac:dyDescent="0.3">
      <c r="A37" s="42" t="s">
        <v>90</v>
      </c>
      <c r="B37" s="42" t="s">
        <v>91</v>
      </c>
      <c r="C37" s="39">
        <v>1</v>
      </c>
      <c r="D37" s="44">
        <v>1</v>
      </c>
      <c r="E37" s="26">
        <f t="shared" si="3"/>
        <v>1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3" customHeight="1" x14ac:dyDescent="0.3">
      <c r="A38" s="42" t="s">
        <v>92</v>
      </c>
      <c r="B38" s="42" t="s">
        <v>93</v>
      </c>
      <c r="C38" s="39">
        <v>2</v>
      </c>
      <c r="D38" s="44">
        <v>5</v>
      </c>
      <c r="E38" s="26">
        <f t="shared" si="3"/>
        <v>10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3" customHeight="1" x14ac:dyDescent="0.3">
      <c r="A39" s="42" t="s">
        <v>94</v>
      </c>
      <c r="B39" s="42" t="s">
        <v>95</v>
      </c>
      <c r="C39" s="39">
        <v>-1</v>
      </c>
      <c r="D39" s="44">
        <v>5</v>
      </c>
      <c r="E39" s="26">
        <f t="shared" si="3"/>
        <v>-5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45" customHeight="1" x14ac:dyDescent="0.3">
      <c r="A40" s="43" t="s">
        <v>96</v>
      </c>
      <c r="B40" s="43" t="s">
        <v>97</v>
      </c>
      <c r="C40" s="40">
        <v>-1</v>
      </c>
      <c r="D40" s="45">
        <v>0</v>
      </c>
      <c r="E40" s="28">
        <f t="shared" si="3"/>
        <v>0</v>
      </c>
    </row>
  </sheetData>
  <mergeCells count="2">
    <mergeCell ref="H15:J15"/>
    <mergeCell ref="R15:S15"/>
  </mergeCells>
  <dataValidations count="1">
    <dataValidation type="list" allowBlank="1" showInputMessage="1" showErrorMessage="1" sqref="D18:D30 D33:D40" xr:uid="{00000000-0002-0000-0200-000000000000}">
      <formula1>"0,1,2,3,4,5"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UCP a</vt:lpstr>
      <vt:lpstr>UCP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Agnese</dc:creator>
  <cp:lastModifiedBy>Martina Agnese</cp:lastModifiedBy>
  <dcterms:created xsi:type="dcterms:W3CDTF">2025-12-02T09:22:49Z</dcterms:created>
  <dcterms:modified xsi:type="dcterms:W3CDTF">2025-12-02T09:22:49Z</dcterms:modified>
</cp:coreProperties>
</file>
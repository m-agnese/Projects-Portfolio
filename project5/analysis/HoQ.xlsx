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li\Downloads\"/>
    </mc:Choice>
  </mc:AlternateContent>
  <xr:revisionPtr revIDLastSave="0" documentId="8_{26874641-876E-4BF4-8FF3-A1362DF7E08E}" xr6:coauthVersionLast="47" xr6:coauthVersionMax="47" xr10:uidLastSave="{00000000-0000-0000-0000-000000000000}"/>
  <bookViews>
    <workbookView xWindow="-108" yWindow="-108" windowWidth="23256" windowHeight="12576" xr2:uid="{1280C830-0604-459B-91FC-76D0BCA5B2C9}"/>
  </bookViews>
  <sheets>
    <sheet name="Final HoQ on Running T-shirt" sheetId="2" r:id="rId1"/>
  </sheets>
  <externalReferences>
    <externalReference r:id="rId2"/>
  </externalReferences>
  <definedNames>
    <definedName name="K_1">[1]Test1!$B$4</definedName>
    <definedName name="K_123">[1]Test1!$B$19</definedName>
    <definedName name="K_1234">[1]Test1!$B$29</definedName>
    <definedName name="K_12345">[1]Test1!$B$34</definedName>
    <definedName name="K_1235">[1]Test1!$B$30</definedName>
    <definedName name="K_124">[1]Test1!$B$20</definedName>
    <definedName name="K_1245">[1]Test1!$B$31</definedName>
    <definedName name="K_125">[1]Test1!$B$21</definedName>
    <definedName name="K_134">[1]Test1!$B$22</definedName>
    <definedName name="K_1345">[1]Test1!$B$32</definedName>
    <definedName name="K_135">[1]Test1!$B$23</definedName>
    <definedName name="K_145">[1]Test1!$B$24</definedName>
    <definedName name="K_2">[1]Test1!$B$5</definedName>
    <definedName name="K_23">[1]Test1!$B$13</definedName>
    <definedName name="K_234">[1]Test1!$B$25</definedName>
    <definedName name="K_2345">[1]Test1!$B$33</definedName>
    <definedName name="K_235">[1]Test1!$B$26</definedName>
    <definedName name="K_24">[1]Test1!$B$14</definedName>
    <definedName name="K_245">[1]Test1!$B$27</definedName>
    <definedName name="K_25">[1]Test1!$B$15</definedName>
    <definedName name="K_3">[1]Test1!$B$6</definedName>
    <definedName name="K_34">[1]Test1!$B$16</definedName>
    <definedName name="K_345">[1]Test1!$B$28</definedName>
    <definedName name="K_35">[1]Test1!$B$17</definedName>
    <definedName name="K_4">[1]Test1!$B$7</definedName>
    <definedName name="K_45">[1]Test1!$B$18</definedName>
    <definedName name="K_5">[1]Test1!$B$8</definedName>
    <definedName name="_xlnm.Print_Area" localSheetId="0">'Final HoQ on Running T-shirt'!$A$1:$Y$76</definedName>
    <definedName name="U_1">[1]Test1!$D$4</definedName>
    <definedName name="U_2">[1]Test1!$D$5</definedName>
    <definedName name="U_3">[1]Test1!$D$6</definedName>
    <definedName name="U_4">[1]Test1!$D$7</definedName>
    <definedName name="U_5">[1]Test1!$D$8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97" i="2" l="1"/>
  <c r="CK106" i="2"/>
  <c r="CJ106" i="2"/>
  <c r="CH106" i="2"/>
  <c r="CI106" i="2"/>
  <c r="CG103" i="2"/>
  <c r="CK103" i="2" s="1"/>
  <c r="CG106" i="2"/>
  <c r="CK105" i="2"/>
  <c r="CJ105" i="2"/>
  <c r="CI105" i="2"/>
  <c r="CH105" i="2"/>
  <c r="CG105" i="2"/>
  <c r="CK104" i="2"/>
  <c r="CJ104" i="2"/>
  <c r="CI104" i="2"/>
  <c r="CH104" i="2"/>
  <c r="CK102" i="2"/>
  <c r="CJ103" i="2"/>
  <c r="CI103" i="2"/>
  <c r="CH103" i="2"/>
  <c r="CI102" i="2"/>
  <c r="CH102" i="2"/>
  <c r="CG102" i="2"/>
  <c r="CI101" i="2"/>
  <c r="CH101" i="2"/>
  <c r="CG101" i="2"/>
  <c r="CK101" i="2" s="1"/>
  <c r="CI100" i="2"/>
  <c r="CH100" i="2"/>
  <c r="CJ100" i="2" s="1"/>
  <c r="CG100" i="2"/>
  <c r="CK100" i="2" s="1"/>
  <c r="CK99" i="2"/>
  <c r="CJ99" i="2"/>
  <c r="CI99" i="2"/>
  <c r="CG99" i="2"/>
  <c r="CJ101" i="2" l="1"/>
  <c r="CJ102" i="2"/>
  <c r="CJ98" i="2" l="1"/>
  <c r="CK98" i="2"/>
  <c r="CI98" i="2"/>
  <c r="CH98" i="2"/>
  <c r="CJ97" i="2"/>
  <c r="CH97" i="2"/>
  <c r="CJ96" i="2"/>
  <c r="CJ95" i="2"/>
  <c r="CK96" i="2"/>
  <c r="CI96" i="2"/>
  <c r="CH96" i="2"/>
  <c r="CG96" i="2"/>
  <c r="CH95" i="2"/>
  <c r="CG95" i="2"/>
  <c r="CE84" i="2"/>
  <c r="CF84" i="2"/>
  <c r="CG84" i="2"/>
  <c r="CH84" i="2"/>
  <c r="CI84" i="2"/>
  <c r="CJ84" i="2"/>
  <c r="CK84" i="2"/>
  <c r="CL84" i="2"/>
  <c r="CM84" i="2"/>
  <c r="CN84" i="2"/>
  <c r="CO84" i="2"/>
  <c r="CD83" i="2"/>
  <c r="CD84" i="2" s="1"/>
  <c r="CO82" i="2"/>
  <c r="CN82" i="2"/>
  <c r="CM82" i="2"/>
  <c r="CL82" i="2"/>
  <c r="CK82" i="2"/>
  <c r="CJ82" i="2"/>
  <c r="CI82" i="2"/>
  <c r="CH82" i="2"/>
  <c r="CG82" i="2"/>
  <c r="CF82" i="2"/>
  <c r="CE82" i="2"/>
  <c r="CD82" i="2"/>
  <c r="V16" i="2"/>
  <c r="X16" i="2" s="1"/>
  <c r="K111" i="2" l="1"/>
  <c r="U111" i="2"/>
  <c r="T111" i="2"/>
  <c r="S111" i="2"/>
  <c r="R111" i="2"/>
  <c r="Q111" i="2"/>
  <c r="P111" i="2"/>
  <c r="O111" i="2"/>
  <c r="N111" i="2"/>
  <c r="M111" i="2"/>
  <c r="L111" i="2"/>
  <c r="J111" i="2"/>
  <c r="N92" i="2"/>
  <c r="M92" i="2"/>
  <c r="L92" i="2"/>
  <c r="K92" i="2"/>
  <c r="J92" i="2"/>
  <c r="I92" i="2"/>
  <c r="AA92" i="2" s="1"/>
  <c r="H92" i="2"/>
  <c r="G92" i="2"/>
  <c r="F92" i="2"/>
  <c r="E92" i="2"/>
  <c r="D92" i="2"/>
  <c r="C92" i="2"/>
  <c r="N91" i="2"/>
  <c r="M91" i="2"/>
  <c r="L91" i="2"/>
  <c r="K91" i="2"/>
  <c r="J91" i="2"/>
  <c r="I91" i="2"/>
  <c r="H91" i="2"/>
  <c r="G91" i="2"/>
  <c r="F91" i="2"/>
  <c r="E91" i="2"/>
  <c r="C91" i="2"/>
  <c r="N90" i="2"/>
  <c r="M90" i="2"/>
  <c r="L90" i="2"/>
  <c r="K90" i="2"/>
  <c r="J90" i="2"/>
  <c r="I90" i="2"/>
  <c r="H90" i="2"/>
  <c r="G90" i="2"/>
  <c r="F90" i="2"/>
  <c r="E90" i="2"/>
  <c r="D90" i="2"/>
  <c r="C90" i="2"/>
  <c r="N89" i="2"/>
  <c r="M89" i="2"/>
  <c r="L89" i="2"/>
  <c r="K89" i="2"/>
  <c r="J89" i="2"/>
  <c r="I89" i="2"/>
  <c r="H89" i="2"/>
  <c r="G89" i="2"/>
  <c r="F89" i="2"/>
  <c r="D89" i="2"/>
  <c r="C89" i="2"/>
  <c r="N88" i="2"/>
  <c r="M88" i="2"/>
  <c r="L88" i="2"/>
  <c r="J88" i="2"/>
  <c r="I88" i="2"/>
  <c r="H88" i="2"/>
  <c r="G88" i="2"/>
  <c r="F88" i="2"/>
  <c r="E88" i="2"/>
  <c r="D88" i="2"/>
  <c r="C88" i="2"/>
  <c r="N87" i="2"/>
  <c r="M87" i="2"/>
  <c r="L87" i="2"/>
  <c r="K87" i="2"/>
  <c r="J87" i="2"/>
  <c r="I87" i="2"/>
  <c r="H87" i="2"/>
  <c r="G87" i="2"/>
  <c r="F87" i="2"/>
  <c r="E87" i="2"/>
  <c r="C87" i="2"/>
  <c r="N86" i="2"/>
  <c r="M86" i="2"/>
  <c r="L86" i="2"/>
  <c r="K86" i="2"/>
  <c r="I86" i="2"/>
  <c r="H86" i="2"/>
  <c r="G86" i="2"/>
  <c r="F86" i="2"/>
  <c r="E86" i="2"/>
  <c r="D86" i="2"/>
  <c r="C86" i="2"/>
  <c r="N85" i="2"/>
  <c r="AF85" i="2" s="1"/>
  <c r="M85" i="2"/>
  <c r="L85" i="2"/>
  <c r="AD85" i="2" s="1"/>
  <c r="K85" i="2"/>
  <c r="AC85" i="2" s="1"/>
  <c r="J85" i="2"/>
  <c r="I85" i="2"/>
  <c r="H85" i="2"/>
  <c r="G85" i="2"/>
  <c r="Y85" i="2" s="1"/>
  <c r="F85" i="2"/>
  <c r="X85" i="2" s="1"/>
  <c r="E85" i="2"/>
  <c r="W85" i="2" s="1"/>
  <c r="D85" i="2"/>
  <c r="C85" i="2"/>
  <c r="N84" i="2"/>
  <c r="M84" i="2"/>
  <c r="L84" i="2"/>
  <c r="K84" i="2"/>
  <c r="J84" i="2"/>
  <c r="I84" i="2"/>
  <c r="H84" i="2"/>
  <c r="G84" i="2"/>
  <c r="F84" i="2"/>
  <c r="E84" i="2"/>
  <c r="D84" i="2"/>
  <c r="C84" i="2"/>
  <c r="N83" i="2"/>
  <c r="M83" i="2"/>
  <c r="L83" i="2"/>
  <c r="K83" i="2"/>
  <c r="J83" i="2"/>
  <c r="I83" i="2"/>
  <c r="H83" i="2"/>
  <c r="G83" i="2"/>
  <c r="F83" i="2"/>
  <c r="D83" i="2"/>
  <c r="C83" i="2"/>
  <c r="N82" i="2"/>
  <c r="M82" i="2"/>
  <c r="L82" i="2"/>
  <c r="K82" i="2"/>
  <c r="J82" i="2"/>
  <c r="I82" i="2"/>
  <c r="H82" i="2"/>
  <c r="G82" i="2"/>
  <c r="F82" i="2"/>
  <c r="E82" i="2"/>
  <c r="D82" i="2"/>
  <c r="C82" i="2"/>
  <c r="U82" i="2" s="1"/>
  <c r="N81" i="2"/>
  <c r="M81" i="2"/>
  <c r="L81" i="2"/>
  <c r="K81" i="2"/>
  <c r="J81" i="2"/>
  <c r="I81" i="2"/>
  <c r="H81" i="2"/>
  <c r="G81" i="2"/>
  <c r="F81" i="2"/>
  <c r="E81" i="2"/>
  <c r="D81" i="2"/>
  <c r="C81" i="2"/>
  <c r="AA12" i="2"/>
  <c r="AB12" i="2"/>
  <c r="AC12" i="2"/>
  <c r="AD12" i="2"/>
  <c r="AE12" i="2"/>
  <c r="AF12" i="2"/>
  <c r="AG12" i="2"/>
  <c r="AH12" i="2"/>
  <c r="AI12" i="2"/>
  <c r="AJ12" i="2"/>
  <c r="AK12" i="2"/>
  <c r="AB13" i="2"/>
  <c r="AC13" i="2"/>
  <c r="AD13" i="2"/>
  <c r="AE13" i="2"/>
  <c r="AF13" i="2"/>
  <c r="AG13" i="2"/>
  <c r="AH13" i="2"/>
  <c r="AI13" i="2"/>
  <c r="AJ13" i="2"/>
  <c r="AK13" i="2"/>
  <c r="AB14" i="2"/>
  <c r="AC14" i="2"/>
  <c r="AD14" i="2"/>
  <c r="AE14" i="2"/>
  <c r="AF14" i="2"/>
  <c r="AG14" i="2"/>
  <c r="AH14" i="2"/>
  <c r="AI14" i="2"/>
  <c r="AJ14" i="2"/>
  <c r="AK14" i="2"/>
  <c r="AB15" i="2"/>
  <c r="AC15" i="2"/>
  <c r="AD15" i="2"/>
  <c r="AE15" i="2"/>
  <c r="AF15" i="2"/>
  <c r="AG15" i="2"/>
  <c r="AH15" i="2"/>
  <c r="AI15" i="2"/>
  <c r="AJ15" i="2"/>
  <c r="AK15" i="2"/>
  <c r="AB16" i="2"/>
  <c r="AC16" i="2"/>
  <c r="AD16" i="2"/>
  <c r="AE16" i="2"/>
  <c r="AF16" i="2"/>
  <c r="AG16" i="2"/>
  <c r="AH16" i="2"/>
  <c r="AI16" i="2"/>
  <c r="AJ16" i="2"/>
  <c r="AK16" i="2"/>
  <c r="AB17" i="2"/>
  <c r="AC17" i="2"/>
  <c r="AD17" i="2"/>
  <c r="AE17" i="2"/>
  <c r="AF17" i="2"/>
  <c r="AG17" i="2"/>
  <c r="AH17" i="2"/>
  <c r="AI17" i="2"/>
  <c r="AJ17" i="2"/>
  <c r="AK17" i="2"/>
  <c r="AB18" i="2"/>
  <c r="AC18" i="2"/>
  <c r="AD18" i="2"/>
  <c r="AE18" i="2"/>
  <c r="AF18" i="2"/>
  <c r="AG18" i="2"/>
  <c r="AH18" i="2"/>
  <c r="AI18" i="2"/>
  <c r="AJ18" i="2"/>
  <c r="AK18" i="2"/>
  <c r="AB19" i="2"/>
  <c r="AC19" i="2"/>
  <c r="AD19" i="2"/>
  <c r="AE19" i="2"/>
  <c r="AF19" i="2"/>
  <c r="AG19" i="2"/>
  <c r="AH19" i="2"/>
  <c r="AI19" i="2"/>
  <c r="AJ19" i="2"/>
  <c r="AK19" i="2"/>
  <c r="AB20" i="2"/>
  <c r="AC20" i="2"/>
  <c r="AD20" i="2"/>
  <c r="AE20" i="2"/>
  <c r="AF20" i="2"/>
  <c r="AG20" i="2"/>
  <c r="AH20" i="2"/>
  <c r="AI20" i="2"/>
  <c r="AJ20" i="2"/>
  <c r="AK20" i="2"/>
  <c r="AB21" i="2"/>
  <c r="AC21" i="2"/>
  <c r="AD21" i="2"/>
  <c r="AE21" i="2"/>
  <c r="AF21" i="2"/>
  <c r="AG21" i="2"/>
  <c r="AH21" i="2"/>
  <c r="AI21" i="2"/>
  <c r="AJ21" i="2"/>
  <c r="AK21" i="2"/>
  <c r="AB22" i="2"/>
  <c r="AC22" i="2"/>
  <c r="AD22" i="2"/>
  <c r="AE22" i="2"/>
  <c r="AF22" i="2"/>
  <c r="AG22" i="2"/>
  <c r="AH22" i="2"/>
  <c r="AI22" i="2"/>
  <c r="AJ22" i="2"/>
  <c r="AK22" i="2"/>
  <c r="AB23" i="2"/>
  <c r="AC23" i="2"/>
  <c r="AD23" i="2"/>
  <c r="AE23" i="2"/>
  <c r="AF23" i="2"/>
  <c r="AG23" i="2"/>
  <c r="AH23" i="2"/>
  <c r="AI23" i="2"/>
  <c r="AJ23" i="2"/>
  <c r="AK23" i="2"/>
  <c r="AA13" i="2"/>
  <c r="AA14" i="2"/>
  <c r="AA15" i="2"/>
  <c r="AA16" i="2"/>
  <c r="AA17" i="2"/>
  <c r="AA18" i="2"/>
  <c r="AA19" i="2"/>
  <c r="AA20" i="2"/>
  <c r="AA21" i="2"/>
  <c r="AA22" i="2"/>
  <c r="AA23" i="2"/>
  <c r="D37" i="2"/>
  <c r="F52" i="2" s="1"/>
  <c r="D36" i="2"/>
  <c r="K51" i="2" s="1"/>
  <c r="D35" i="2"/>
  <c r="M50" i="2" s="1"/>
  <c r="D34" i="2"/>
  <c r="K49" i="2" s="1"/>
  <c r="D33" i="2"/>
  <c r="I48" i="2" s="1"/>
  <c r="D32" i="2"/>
  <c r="I47" i="2" s="1"/>
  <c r="D31" i="2"/>
  <c r="N46" i="2" s="1"/>
  <c r="D30" i="2"/>
  <c r="E45" i="2" s="1"/>
  <c r="D29" i="2"/>
  <c r="P44" i="2" s="1"/>
  <c r="D28" i="2"/>
  <c r="M43" i="2" s="1"/>
  <c r="D27" i="2"/>
  <c r="G42" i="2" s="1"/>
  <c r="D26" i="2"/>
  <c r="I41" i="2" s="1"/>
  <c r="D25" i="2"/>
  <c r="I40" i="2" s="1"/>
  <c r="C24" i="2"/>
  <c r="BW23" i="2"/>
  <c r="BV23" i="2"/>
  <c r="BU23" i="2"/>
  <c r="BT23" i="2"/>
  <c r="BS23" i="2"/>
  <c r="BR23" i="2"/>
  <c r="BQ23" i="2"/>
  <c r="BP23" i="2"/>
  <c r="BO23" i="2"/>
  <c r="BN23" i="2"/>
  <c r="BM23" i="2"/>
  <c r="V23" i="2"/>
  <c r="X23" i="2" s="1"/>
  <c r="Y92" i="2" s="1"/>
  <c r="D23" i="2"/>
  <c r="V21" i="2"/>
  <c r="X21" i="2" s="1"/>
  <c r="D21" i="2"/>
  <c r="V15" i="2"/>
  <c r="X15" i="2" s="1"/>
  <c r="AB84" i="2" s="1"/>
  <c r="D15" i="2"/>
  <c r="V20" i="2"/>
  <c r="X20" i="2" s="1"/>
  <c r="W89" i="2" s="1"/>
  <c r="D20" i="2"/>
  <c r="V19" i="2"/>
  <c r="X19" i="2" s="1"/>
  <c r="D19" i="2"/>
  <c r="V18" i="2"/>
  <c r="X18" i="2" s="1"/>
  <c r="D18" i="2"/>
  <c r="V17" i="2"/>
  <c r="X17" i="2" s="1"/>
  <c r="Y86" i="2" s="1"/>
  <c r="D17" i="2"/>
  <c r="D16" i="2"/>
  <c r="V22" i="2"/>
  <c r="X22" i="2" s="1"/>
  <c r="X91" i="2" s="1"/>
  <c r="D22" i="2"/>
  <c r="V14" i="2"/>
  <c r="X14" i="2" s="1"/>
  <c r="W83" i="2" s="1"/>
  <c r="D14" i="2"/>
  <c r="V13" i="2"/>
  <c r="X13" i="2" s="1"/>
  <c r="AA82" i="2" s="1"/>
  <c r="D13" i="2"/>
  <c r="V12" i="2"/>
  <c r="X12" i="2" s="1"/>
  <c r="D12" i="2"/>
  <c r="X81" i="2" l="1"/>
  <c r="W91" i="2"/>
  <c r="Z90" i="2"/>
  <c r="AW22" i="2"/>
  <c r="AO22" i="2"/>
  <c r="AQ21" i="2"/>
  <c r="AC87" i="2"/>
  <c r="Y88" i="2"/>
  <c r="AD89" i="2"/>
  <c r="AP23" i="2"/>
  <c r="AR22" i="2"/>
  <c r="AT21" i="2"/>
  <c r="AV20" i="2"/>
  <c r="X89" i="2"/>
  <c r="AC83" i="2"/>
  <c r="AE87" i="2"/>
  <c r="AC89" i="2"/>
  <c r="Y90" i="2"/>
  <c r="AD91" i="2"/>
  <c r="Z92" i="2"/>
  <c r="Z81" i="2"/>
  <c r="V89" i="2"/>
  <c r="AE89" i="2"/>
  <c r="AF91" i="2"/>
  <c r="AB92" i="2"/>
  <c r="W81" i="2"/>
  <c r="AE81" i="2"/>
  <c r="AC86" i="2"/>
  <c r="Z87" i="2"/>
  <c r="V88" i="2"/>
  <c r="V91" i="2"/>
  <c r="Y81" i="2"/>
  <c r="AF83" i="2"/>
  <c r="W87" i="2"/>
  <c r="AM21" i="2"/>
  <c r="AN20" i="2"/>
  <c r="Z88" i="2"/>
  <c r="AE83" i="2"/>
  <c r="V87" i="2"/>
  <c r="X82" i="2"/>
  <c r="Y89" i="2"/>
  <c r="AE91" i="2"/>
  <c r="U81" i="2"/>
  <c r="AS20" i="2"/>
  <c r="V83" i="2"/>
  <c r="AD84" i="2"/>
  <c r="AA84" i="2"/>
  <c r="Z84" i="2"/>
  <c r="AC81" i="2"/>
  <c r="U83" i="2"/>
  <c r="T83" i="2"/>
  <c r="L97" i="2" s="1"/>
  <c r="AD97" i="2" s="1"/>
  <c r="V85" i="2"/>
  <c r="X87" i="2"/>
  <c r="Z89" i="2"/>
  <c r="V90" i="2"/>
  <c r="AA91" i="2"/>
  <c r="W92" i="2"/>
  <c r="AE92" i="2"/>
  <c r="Y87" i="2"/>
  <c r="AD88" i="2"/>
  <c r="AA89" i="2"/>
  <c r="AE90" i="2"/>
  <c r="AB91" i="2"/>
  <c r="X92" i="2"/>
  <c r="AF92" i="2"/>
  <c r="AD83" i="2"/>
  <c r="AF87" i="2"/>
  <c r="AD81" i="2"/>
  <c r="AF86" i="2"/>
  <c r="AB86" i="2"/>
  <c r="U86" i="2"/>
  <c r="AM13" i="2"/>
  <c r="AP19" i="2"/>
  <c r="AT17" i="2"/>
  <c r="AN16" i="2"/>
  <c r="AR14" i="2"/>
  <c r="AV12" i="2"/>
  <c r="U84" i="2"/>
  <c r="AM19" i="2"/>
  <c r="AP22" i="2"/>
  <c r="AT16" i="2"/>
  <c r="Y82" i="2"/>
  <c r="AD90" i="2"/>
  <c r="T89" i="2"/>
  <c r="H103" i="2" s="1"/>
  <c r="Z103" i="2" s="1"/>
  <c r="Z82" i="2"/>
  <c r="T88" i="2"/>
  <c r="K102" i="2" s="1"/>
  <c r="AC102" i="2" s="1"/>
  <c r="W90" i="2"/>
  <c r="T82" i="2"/>
  <c r="G96" i="2" s="1"/>
  <c r="Y96" i="2" s="1"/>
  <c r="AE85" i="2"/>
  <c r="T81" i="2"/>
  <c r="L95" i="2" s="1"/>
  <c r="AD95" i="2" s="1"/>
  <c r="AR18" i="2"/>
  <c r="AV16" i="2"/>
  <c r="AP15" i="2"/>
  <c r="AT13" i="2"/>
  <c r="AN12" i="2"/>
  <c r="C96" i="2"/>
  <c r="AD82" i="2"/>
  <c r="AV23" i="2"/>
  <c r="AN23" i="2"/>
  <c r="AR21" i="2"/>
  <c r="AT20" i="2"/>
  <c r="AN19" i="2"/>
  <c r="AP18" i="2"/>
  <c r="AR17" i="2"/>
  <c r="AV15" i="2"/>
  <c r="AN15" i="2"/>
  <c r="AP14" i="2"/>
  <c r="AR13" i="2"/>
  <c r="AT12" i="2"/>
  <c r="V81" i="2"/>
  <c r="AB82" i="2"/>
  <c r="U88" i="2"/>
  <c r="AA81" i="2"/>
  <c r="W82" i="2"/>
  <c r="AE82" i="2"/>
  <c r="AB83" i="2"/>
  <c r="X84" i="2"/>
  <c r="AF84" i="2"/>
  <c r="AB85" i="2"/>
  <c r="X86" i="2"/>
  <c r="C101" i="2"/>
  <c r="U87" i="2"/>
  <c r="T87" i="2"/>
  <c r="F101" i="2" s="1"/>
  <c r="X101" i="2" s="1"/>
  <c r="AD87" i="2"/>
  <c r="AF89" i="2"/>
  <c r="AB90" i="2"/>
  <c r="Y91" i="2"/>
  <c r="T92" i="2"/>
  <c r="N106" i="2" s="1"/>
  <c r="AF106" i="2" s="1"/>
  <c r="AC92" i="2"/>
  <c r="T91" i="2"/>
  <c r="I105" i="2" s="1"/>
  <c r="AA105" i="2" s="1"/>
  <c r="V82" i="2"/>
  <c r="AA86" i="2"/>
  <c r="AB88" i="2"/>
  <c r="AA90" i="2"/>
  <c r="U92" i="2"/>
  <c r="AM12" i="2"/>
  <c r="AB81" i="2"/>
  <c r="AF82" i="2"/>
  <c r="Y84" i="2"/>
  <c r="U85" i="2"/>
  <c r="T85" i="2"/>
  <c r="L99" i="2" s="1"/>
  <c r="AD99" i="2" s="1"/>
  <c r="U90" i="2"/>
  <c r="AC90" i="2"/>
  <c r="Z91" i="2"/>
  <c r="V92" i="2"/>
  <c r="AD92" i="2"/>
  <c r="T90" i="2"/>
  <c r="I104" i="2" s="1"/>
  <c r="AA104" i="2" s="1"/>
  <c r="Z86" i="2"/>
  <c r="AA88" i="2"/>
  <c r="AM18" i="2"/>
  <c r="AO18" i="2"/>
  <c r="AS16" i="2"/>
  <c r="AW14" i="2"/>
  <c r="AQ13" i="2"/>
  <c r="Y83" i="2"/>
  <c r="AC84" i="2"/>
  <c r="AD86" i="2"/>
  <c r="AM17" i="2"/>
  <c r="AT23" i="2"/>
  <c r="AV22" i="2"/>
  <c r="AN22" i="2"/>
  <c r="AP21" i="2"/>
  <c r="AR20" i="2"/>
  <c r="AT19" i="2"/>
  <c r="AV18" i="2"/>
  <c r="AN18" i="2"/>
  <c r="AP17" i="2"/>
  <c r="AR16" i="2"/>
  <c r="AT15" i="2"/>
  <c r="AN14" i="2"/>
  <c r="AP13" i="2"/>
  <c r="AR12" i="2"/>
  <c r="AC82" i="2"/>
  <c r="H97" i="2"/>
  <c r="Z97" i="2" s="1"/>
  <c r="V84" i="2"/>
  <c r="Z85" i="2"/>
  <c r="V86" i="2"/>
  <c r="AE86" i="2"/>
  <c r="AB87" i="2"/>
  <c r="X88" i="2"/>
  <c r="U89" i="2"/>
  <c r="X83" i="2"/>
  <c r="AC91" i="2"/>
  <c r="AW18" i="2"/>
  <c r="AQ17" i="2"/>
  <c r="AO14" i="2"/>
  <c r="AS12" i="2"/>
  <c r="T84" i="2"/>
  <c r="G98" i="2" s="1"/>
  <c r="Y98" i="2" s="1"/>
  <c r="T86" i="2"/>
  <c r="I100" i="2" s="1"/>
  <c r="AA100" i="2" s="1"/>
  <c r="C105" i="2"/>
  <c r="Z83" i="2"/>
  <c r="AC88" i="2"/>
  <c r="AF88" i="2"/>
  <c r="AM16" i="2"/>
  <c r="AS23" i="2"/>
  <c r="AW21" i="2"/>
  <c r="AO21" i="2"/>
  <c r="AQ20" i="2"/>
  <c r="AS19" i="2"/>
  <c r="AW17" i="2"/>
  <c r="AO17" i="2"/>
  <c r="AQ16" i="2"/>
  <c r="AS15" i="2"/>
  <c r="AW13" i="2"/>
  <c r="AO13" i="2"/>
  <c r="AQ12" i="2"/>
  <c r="K101" i="2"/>
  <c r="AC101" i="2" s="1"/>
  <c r="AM23" i="2"/>
  <c r="AR23" i="2"/>
  <c r="AP20" i="2"/>
  <c r="AT18" i="2"/>
  <c r="AV17" i="2"/>
  <c r="AP16" i="2"/>
  <c r="AR15" i="2"/>
  <c r="AT14" i="2"/>
  <c r="AN13" i="2"/>
  <c r="AP12" i="2"/>
  <c r="AF81" i="2"/>
  <c r="AB89" i="2"/>
  <c r="AF90" i="2"/>
  <c r="X90" i="2"/>
  <c r="D24" i="2"/>
  <c r="AM15" i="2"/>
  <c r="AT22" i="2"/>
  <c r="AN21" i="2"/>
  <c r="AR19" i="2"/>
  <c r="AN17" i="2"/>
  <c r="AV13" i="2"/>
  <c r="Y12" i="2"/>
  <c r="AM22" i="2"/>
  <c r="AM14" i="2"/>
  <c r="AQ23" i="2"/>
  <c r="AS22" i="2"/>
  <c r="AW20" i="2"/>
  <c r="AO20" i="2"/>
  <c r="AQ19" i="2"/>
  <c r="AS18" i="2"/>
  <c r="AW16" i="2"/>
  <c r="AO16" i="2"/>
  <c r="AQ15" i="2"/>
  <c r="AS14" i="2"/>
  <c r="AW12" i="2"/>
  <c r="AO12" i="2"/>
  <c r="AA83" i="2"/>
  <c r="AE84" i="2"/>
  <c r="W84" i="2"/>
  <c r="AA85" i="2"/>
  <c r="W86" i="2"/>
  <c r="AA87" i="2"/>
  <c r="AE88" i="2"/>
  <c r="W88" i="2"/>
  <c r="AM20" i="2"/>
  <c r="AW23" i="2"/>
  <c r="AO23" i="2"/>
  <c r="AQ22" i="2"/>
  <c r="AS21" i="2"/>
  <c r="AW19" i="2"/>
  <c r="AO19" i="2"/>
  <c r="AQ18" i="2"/>
  <c r="AS17" i="2"/>
  <c r="AW15" i="2"/>
  <c r="AO15" i="2"/>
  <c r="AQ14" i="2"/>
  <c r="AS13" i="2"/>
  <c r="U91" i="2"/>
  <c r="AV21" i="2"/>
  <c r="AV14" i="2"/>
  <c r="AV19" i="2"/>
  <c r="AU16" i="2"/>
  <c r="AU20" i="2"/>
  <c r="AU12" i="2"/>
  <c r="AU18" i="2"/>
  <c r="AU13" i="2"/>
  <c r="AU17" i="2"/>
  <c r="AU21" i="2"/>
  <c r="AU14" i="2"/>
  <c r="AU23" i="2"/>
  <c r="AU22" i="2"/>
  <c r="AU15" i="2"/>
  <c r="AU19" i="2"/>
  <c r="E40" i="2"/>
  <c r="N41" i="2"/>
  <c r="M49" i="2"/>
  <c r="L40" i="2"/>
  <c r="K42" i="2"/>
  <c r="E50" i="2"/>
  <c r="G43" i="2"/>
  <c r="N50" i="2"/>
  <c r="N43" i="2"/>
  <c r="J50" i="2"/>
  <c r="H43" i="2"/>
  <c r="K50" i="2"/>
  <c r="J43" i="2"/>
  <c r="P41" i="2"/>
  <c r="K43" i="2"/>
  <c r="F50" i="2"/>
  <c r="M47" i="2"/>
  <c r="E43" i="2"/>
  <c r="N47" i="2"/>
  <c r="H50" i="2"/>
  <c r="F43" i="2"/>
  <c r="P47" i="2"/>
  <c r="I50" i="2"/>
  <c r="J47" i="2"/>
  <c r="K47" i="2"/>
  <c r="H41" i="2"/>
  <c r="P43" i="2"/>
  <c r="F47" i="2"/>
  <c r="E48" i="2"/>
  <c r="G50" i="2"/>
  <c r="M51" i="2"/>
  <c r="J52" i="2"/>
  <c r="N42" i="2"/>
  <c r="G47" i="2"/>
  <c r="F48" i="2"/>
  <c r="N51" i="2"/>
  <c r="H51" i="2"/>
  <c r="I52" i="2"/>
  <c r="E46" i="2"/>
  <c r="K52" i="2"/>
  <c r="F46" i="2"/>
  <c r="L51" i="2"/>
  <c r="J42" i="2"/>
  <c r="I43" i="2"/>
  <c r="L47" i="2"/>
  <c r="G48" i="2"/>
  <c r="P50" i="2"/>
  <c r="P51" i="2"/>
  <c r="X24" i="2"/>
  <c r="Y24" i="2" s="1"/>
  <c r="Y13" i="2"/>
  <c r="Y14" i="2"/>
  <c r="Y20" i="2"/>
  <c r="Y15" i="2"/>
  <c r="Y28" i="2" s="1"/>
  <c r="Y17" i="2"/>
  <c r="Y23" i="2"/>
  <c r="Y22" i="2"/>
  <c r="Y35" i="2" s="1"/>
  <c r="Y19" i="2"/>
  <c r="Y32" i="2" s="1"/>
  <c r="Y18" i="2"/>
  <c r="Y16" i="2"/>
  <c r="Y29" i="2" s="1"/>
  <c r="Y21" i="2"/>
  <c r="H45" i="2"/>
  <c r="P45" i="2"/>
  <c r="N45" i="2"/>
  <c r="H40" i="2"/>
  <c r="N49" i="2"/>
  <c r="G45" i="2"/>
  <c r="L48" i="2"/>
  <c r="J49" i="2"/>
  <c r="E52" i="2"/>
  <c r="P40" i="2"/>
  <c r="N40" i="2"/>
  <c r="M40" i="2"/>
  <c r="L41" i="2"/>
  <c r="K41" i="2"/>
  <c r="G41" i="2"/>
  <c r="J41" i="2"/>
  <c r="F41" i="2"/>
  <c r="M46" i="2"/>
  <c r="L46" i="2"/>
  <c r="K46" i="2"/>
  <c r="G46" i="2"/>
  <c r="J40" i="2"/>
  <c r="F42" i="2"/>
  <c r="L44" i="2"/>
  <c r="L45" i="2"/>
  <c r="P46" i="2"/>
  <c r="H48" i="2"/>
  <c r="I49" i="2"/>
  <c r="E49" i="2"/>
  <c r="H49" i="2"/>
  <c r="P49" i="2"/>
  <c r="F45" i="2"/>
  <c r="H52" i="2"/>
  <c r="P52" i="2"/>
  <c r="N52" i="2"/>
  <c r="K40" i="2"/>
  <c r="M44" i="2"/>
  <c r="M45" i="2"/>
  <c r="H46" i="2"/>
  <c r="G52" i="2"/>
  <c r="I42" i="2"/>
  <c r="E42" i="2"/>
  <c r="H42" i="2"/>
  <c r="P42" i="2"/>
  <c r="P48" i="2"/>
  <c r="N48" i="2"/>
  <c r="M48" i="2"/>
  <c r="E41" i="2"/>
  <c r="L42" i="2"/>
  <c r="N44" i="2"/>
  <c r="I45" i="2"/>
  <c r="I46" i="2"/>
  <c r="J48" i="2"/>
  <c r="F49" i="2"/>
  <c r="L52" i="2"/>
  <c r="F40" i="2"/>
  <c r="M41" i="2"/>
  <c r="M42" i="2"/>
  <c r="J45" i="2"/>
  <c r="J46" i="2"/>
  <c r="K48" i="2"/>
  <c r="G49" i="2"/>
  <c r="M52" i="2"/>
  <c r="K44" i="2"/>
  <c r="G44" i="2"/>
  <c r="J44" i="2"/>
  <c r="F44" i="2"/>
  <c r="I44" i="2"/>
  <c r="E44" i="2"/>
  <c r="G40" i="2"/>
  <c r="H44" i="2"/>
  <c r="K45" i="2"/>
  <c r="L49" i="2"/>
  <c r="L43" i="2"/>
  <c r="H47" i="2"/>
  <c r="L50" i="2"/>
  <c r="E51" i="2"/>
  <c r="I51" i="2"/>
  <c r="E47" i="2"/>
  <c r="F51" i="2"/>
  <c r="J51" i="2"/>
  <c r="G51" i="2"/>
  <c r="N103" i="2" l="1"/>
  <c r="AF103" i="2" s="1"/>
  <c r="E98" i="2"/>
  <c r="W98" i="2" s="1"/>
  <c r="H99" i="2"/>
  <c r="Z99" i="2" s="1"/>
  <c r="I99" i="2"/>
  <c r="AA99" i="2" s="1"/>
  <c r="K97" i="2"/>
  <c r="AC97" i="2" s="1"/>
  <c r="I97" i="2"/>
  <c r="AA97" i="2" s="1"/>
  <c r="O109" i="2"/>
  <c r="F96" i="2"/>
  <c r="X96" i="2" s="1"/>
  <c r="J97" i="2"/>
  <c r="AB97" i="2" s="1"/>
  <c r="L98" i="2"/>
  <c r="AD98" i="2" s="1"/>
  <c r="H96" i="2"/>
  <c r="Z96" i="2" s="1"/>
  <c r="H105" i="2"/>
  <c r="Z105" i="2" s="1"/>
  <c r="E96" i="2"/>
  <c r="W96" i="2" s="1"/>
  <c r="D97" i="2"/>
  <c r="V97" i="2" s="1"/>
  <c r="H98" i="2"/>
  <c r="Z98" i="2" s="1"/>
  <c r="N96" i="2"/>
  <c r="AF96" i="2" s="1"/>
  <c r="F98" i="2"/>
  <c r="X98" i="2" s="1"/>
  <c r="C102" i="2"/>
  <c r="U102" i="2" s="1"/>
  <c r="T109" i="2"/>
  <c r="D102" i="2"/>
  <c r="V102" i="2" s="1"/>
  <c r="M106" i="2"/>
  <c r="AE106" i="2" s="1"/>
  <c r="C99" i="2"/>
  <c r="M96" i="2"/>
  <c r="AE96" i="2" s="1"/>
  <c r="M99" i="2"/>
  <c r="AE99" i="2" s="1"/>
  <c r="H101" i="2"/>
  <c r="Z101" i="2" s="1"/>
  <c r="G102" i="2"/>
  <c r="Y102" i="2" s="1"/>
  <c r="I101" i="2"/>
  <c r="AA101" i="2" s="1"/>
  <c r="H104" i="2"/>
  <c r="Z104" i="2" s="1"/>
  <c r="F104" i="2"/>
  <c r="X104" i="2" s="1"/>
  <c r="E100" i="2"/>
  <c r="W100" i="2" s="1"/>
  <c r="D98" i="2"/>
  <c r="V98" i="2" s="1"/>
  <c r="L106" i="2"/>
  <c r="AD106" i="2" s="1"/>
  <c r="C104" i="2"/>
  <c r="J105" i="2"/>
  <c r="AB105" i="2" s="1"/>
  <c r="D99" i="2"/>
  <c r="V99" i="2" s="1"/>
  <c r="J99" i="2"/>
  <c r="AB99" i="2" s="1"/>
  <c r="J103" i="2"/>
  <c r="AB103" i="2" s="1"/>
  <c r="F100" i="2"/>
  <c r="X100" i="2" s="1"/>
  <c r="M98" i="2"/>
  <c r="AE98" i="2" s="1"/>
  <c r="J101" i="2"/>
  <c r="AB101" i="2" s="1"/>
  <c r="D106" i="2"/>
  <c r="V106" i="2" s="1"/>
  <c r="K106" i="2"/>
  <c r="AC106" i="2" s="1"/>
  <c r="L101" i="2"/>
  <c r="AD101" i="2" s="1"/>
  <c r="E104" i="2"/>
  <c r="W104" i="2" s="1"/>
  <c r="E99" i="2"/>
  <c r="W99" i="2" s="1"/>
  <c r="G104" i="2"/>
  <c r="Y104" i="2" s="1"/>
  <c r="J104" i="2"/>
  <c r="AB104" i="2" s="1"/>
  <c r="D104" i="2"/>
  <c r="V104" i="2" s="1"/>
  <c r="L109" i="2"/>
  <c r="I95" i="2"/>
  <c r="AA95" i="2" s="1"/>
  <c r="G101" i="2"/>
  <c r="Y101" i="2" s="1"/>
  <c r="N109" i="2"/>
  <c r="M109" i="2"/>
  <c r="J109" i="2"/>
  <c r="U101" i="2"/>
  <c r="Y33" i="2"/>
  <c r="P62" i="2" s="1"/>
  <c r="P70" i="2"/>
  <c r="BD21" i="2"/>
  <c r="BD20" i="2"/>
  <c r="BD16" i="2"/>
  <c r="BQ16" i="2" s="1"/>
  <c r="BD12" i="2"/>
  <c r="BQ12" i="2" s="1"/>
  <c r="BD19" i="2"/>
  <c r="BD17" i="2"/>
  <c r="BQ17" i="2" s="1"/>
  <c r="BD14" i="2"/>
  <c r="BD22" i="2"/>
  <c r="BQ22" i="2" s="1"/>
  <c r="BD15" i="2"/>
  <c r="BQ15" i="2" s="1"/>
  <c r="BD13" i="2"/>
  <c r="BD18" i="2"/>
  <c r="BQ18" i="2" s="1"/>
  <c r="Q109" i="2"/>
  <c r="BB18" i="2"/>
  <c r="BO18" i="2" s="1"/>
  <c r="BB17" i="2"/>
  <c r="BO17" i="2" s="1"/>
  <c r="BB19" i="2"/>
  <c r="BB14" i="2"/>
  <c r="BO14" i="2" s="1"/>
  <c r="BB15" i="2"/>
  <c r="BO15" i="2" s="1"/>
  <c r="BB22" i="2"/>
  <c r="BO22" i="2" s="1"/>
  <c r="BB12" i="2"/>
  <c r="BB16" i="2"/>
  <c r="BO16" i="2" s="1"/>
  <c r="BB13" i="2"/>
  <c r="BO13" i="2" s="1"/>
  <c r="J95" i="2"/>
  <c r="AB95" i="2" s="1"/>
  <c r="C95" i="2"/>
  <c r="D95" i="2"/>
  <c r="V95" i="2" s="1"/>
  <c r="Y31" i="2"/>
  <c r="K60" i="2" s="1"/>
  <c r="O70" i="2"/>
  <c r="H70" i="2"/>
  <c r="J70" i="2"/>
  <c r="BJ15" i="2"/>
  <c r="BW15" i="2" s="1"/>
  <c r="BJ22" i="2"/>
  <c r="BW22" i="2" s="1"/>
  <c r="BJ19" i="2"/>
  <c r="BW19" i="2" s="1"/>
  <c r="BJ18" i="2"/>
  <c r="BW18" i="2" s="1"/>
  <c r="BJ17" i="2"/>
  <c r="BW17" i="2" s="1"/>
  <c r="BJ14" i="2"/>
  <c r="BW14" i="2" s="1"/>
  <c r="BJ13" i="2"/>
  <c r="BW13" i="2" s="1"/>
  <c r="BJ12" i="2"/>
  <c r="BW12" i="2" s="1"/>
  <c r="BJ16" i="2"/>
  <c r="BW16" i="2" s="1"/>
  <c r="N100" i="2"/>
  <c r="AF100" i="2" s="1"/>
  <c r="M100" i="2"/>
  <c r="AE100" i="2" s="1"/>
  <c r="AZ22" i="2"/>
  <c r="BM22" i="2" s="1"/>
  <c r="AZ17" i="2"/>
  <c r="BM17" i="2" s="1"/>
  <c r="AZ18" i="2"/>
  <c r="BM18" i="2" s="1"/>
  <c r="AZ16" i="2"/>
  <c r="AZ19" i="2"/>
  <c r="BM19" i="2" s="1"/>
  <c r="AZ13" i="2"/>
  <c r="BM13" i="2" s="1"/>
  <c r="AZ15" i="2"/>
  <c r="BM15" i="2" s="1"/>
  <c r="AZ12" i="2"/>
  <c r="BM12" i="2" s="1"/>
  <c r="AZ14" i="2"/>
  <c r="BM14" i="2" s="1"/>
  <c r="L105" i="2"/>
  <c r="AD105" i="2" s="1"/>
  <c r="F105" i="2"/>
  <c r="X105" i="2" s="1"/>
  <c r="E105" i="2"/>
  <c r="W105" i="2" s="1"/>
  <c r="D105" i="2"/>
  <c r="V105" i="2" s="1"/>
  <c r="N105" i="2"/>
  <c r="AF105" i="2" s="1"/>
  <c r="M105" i="2"/>
  <c r="AE105" i="2" s="1"/>
  <c r="U96" i="2"/>
  <c r="M102" i="2"/>
  <c r="AE102" i="2" s="1"/>
  <c r="M104" i="2"/>
  <c r="AE104" i="2" s="1"/>
  <c r="G97" i="2"/>
  <c r="Y97" i="2" s="1"/>
  <c r="F97" i="2"/>
  <c r="X97" i="2" s="1"/>
  <c r="N97" i="2"/>
  <c r="AF97" i="2" s="1"/>
  <c r="E97" i="2"/>
  <c r="W97" i="2" s="1"/>
  <c r="I102" i="2"/>
  <c r="AA102" i="2" s="1"/>
  <c r="D103" i="2"/>
  <c r="V103" i="2" s="1"/>
  <c r="L103" i="2"/>
  <c r="AD103" i="2" s="1"/>
  <c r="M103" i="2"/>
  <c r="AE103" i="2" s="1"/>
  <c r="G103" i="2"/>
  <c r="Y103" i="2" s="1"/>
  <c r="F103" i="2"/>
  <c r="X103" i="2" s="1"/>
  <c r="E103" i="2"/>
  <c r="W103" i="2" s="1"/>
  <c r="S109" i="2"/>
  <c r="U109" i="2"/>
  <c r="K98" i="2"/>
  <c r="AC98" i="2" s="1"/>
  <c r="J98" i="2"/>
  <c r="AB98" i="2" s="1"/>
  <c r="C98" i="2"/>
  <c r="I98" i="2"/>
  <c r="AA98" i="2" s="1"/>
  <c r="C103" i="2"/>
  <c r="BE18" i="2"/>
  <c r="BR18" i="2" s="1"/>
  <c r="BE17" i="2"/>
  <c r="BR17" i="2" s="1"/>
  <c r="BE19" i="2"/>
  <c r="BR19" i="2" s="1"/>
  <c r="BE14" i="2"/>
  <c r="BE15" i="2"/>
  <c r="BE22" i="2"/>
  <c r="BE12" i="2"/>
  <c r="BR12" i="2" s="1"/>
  <c r="BE16" i="2"/>
  <c r="BE13" i="2"/>
  <c r="BR13" i="2" s="1"/>
  <c r="K103" i="2"/>
  <c r="AC103" i="2" s="1"/>
  <c r="G100" i="2"/>
  <c r="Y100" i="2" s="1"/>
  <c r="H102" i="2"/>
  <c r="Z102" i="2" s="1"/>
  <c r="BG22" i="2"/>
  <c r="BT22" i="2" s="1"/>
  <c r="BG18" i="2"/>
  <c r="BT18" i="2" s="1"/>
  <c r="BG17" i="2"/>
  <c r="BT17" i="2" s="1"/>
  <c r="BG19" i="2"/>
  <c r="BT19" i="2" s="1"/>
  <c r="BG14" i="2"/>
  <c r="BT14" i="2" s="1"/>
  <c r="BG15" i="2"/>
  <c r="BG16" i="2"/>
  <c r="BT16" i="2" s="1"/>
  <c r="BG13" i="2"/>
  <c r="BG12" i="2"/>
  <c r="BT12" i="2" s="1"/>
  <c r="L104" i="2"/>
  <c r="AD104" i="2" s="1"/>
  <c r="G106" i="2"/>
  <c r="Y106" i="2" s="1"/>
  <c r="I103" i="2"/>
  <c r="AA103" i="2" s="1"/>
  <c r="C97" i="2"/>
  <c r="N70" i="2"/>
  <c r="E70" i="2"/>
  <c r="H95" i="2"/>
  <c r="Z95" i="2" s="1"/>
  <c r="N95" i="2"/>
  <c r="AF95" i="2" s="1"/>
  <c r="M95" i="2"/>
  <c r="AE95" i="2" s="1"/>
  <c r="E95" i="2"/>
  <c r="W95" i="2" s="1"/>
  <c r="G95" i="2"/>
  <c r="Y95" i="2" s="1"/>
  <c r="F95" i="2"/>
  <c r="X95" i="2" s="1"/>
  <c r="N102" i="2"/>
  <c r="AF102" i="2" s="1"/>
  <c r="K109" i="2"/>
  <c r="BC18" i="2"/>
  <c r="BC17" i="2"/>
  <c r="BP17" i="2" s="1"/>
  <c r="BC19" i="2"/>
  <c r="BP19" i="2" s="1"/>
  <c r="BC14" i="2"/>
  <c r="BP14" i="2" s="1"/>
  <c r="BC15" i="2"/>
  <c r="BP15" i="2" s="1"/>
  <c r="BC22" i="2"/>
  <c r="BP22" i="2" s="1"/>
  <c r="BC13" i="2"/>
  <c r="BC16" i="2"/>
  <c r="BP16" i="2" s="1"/>
  <c r="BC12" i="2"/>
  <c r="BP12" i="2" s="1"/>
  <c r="BF18" i="2"/>
  <c r="BS18" i="2" s="1"/>
  <c r="BF17" i="2"/>
  <c r="BS17" i="2" s="1"/>
  <c r="BF19" i="2"/>
  <c r="BS19" i="2" s="1"/>
  <c r="BF14" i="2"/>
  <c r="BS14" i="2" s="1"/>
  <c r="BF15" i="2"/>
  <c r="BS15" i="2" s="1"/>
  <c r="BF22" i="2"/>
  <c r="BF12" i="2"/>
  <c r="BS12" i="2" s="1"/>
  <c r="BF13" i="2"/>
  <c r="BS13" i="2" s="1"/>
  <c r="BF16" i="2"/>
  <c r="BS16" i="2" s="1"/>
  <c r="E102" i="2"/>
  <c r="W102" i="2" s="1"/>
  <c r="K99" i="2"/>
  <c r="AC99" i="2" s="1"/>
  <c r="J106" i="2"/>
  <c r="AB106" i="2" s="1"/>
  <c r="I106" i="2"/>
  <c r="AA106" i="2" s="1"/>
  <c r="H106" i="2"/>
  <c r="Z106" i="2" s="1"/>
  <c r="C106" i="2"/>
  <c r="E101" i="2"/>
  <c r="W101" i="2" s="1"/>
  <c r="D101" i="2"/>
  <c r="V101" i="2" s="1"/>
  <c r="M101" i="2"/>
  <c r="AE101" i="2" s="1"/>
  <c r="N98" i="2"/>
  <c r="AF98" i="2" s="1"/>
  <c r="L96" i="2"/>
  <c r="AD96" i="2" s="1"/>
  <c r="D96" i="2"/>
  <c r="V96" i="2" s="1"/>
  <c r="I96" i="2"/>
  <c r="AA96" i="2" s="1"/>
  <c r="K96" i="2"/>
  <c r="AC96" i="2" s="1"/>
  <c r="J96" i="2"/>
  <c r="AB96" i="2" s="1"/>
  <c r="K105" i="2"/>
  <c r="AC105" i="2" s="1"/>
  <c r="L102" i="2"/>
  <c r="AD102" i="2" s="1"/>
  <c r="E106" i="2"/>
  <c r="W106" i="2" s="1"/>
  <c r="R109" i="2"/>
  <c r="M97" i="2"/>
  <c r="AE97" i="2" s="1"/>
  <c r="U105" i="2"/>
  <c r="U99" i="2"/>
  <c r="M70" i="2"/>
  <c r="L70" i="2"/>
  <c r="K70" i="2"/>
  <c r="L100" i="2"/>
  <c r="AD100" i="2" s="1"/>
  <c r="C100" i="2"/>
  <c r="J100" i="2"/>
  <c r="AB100" i="2" s="1"/>
  <c r="K100" i="2"/>
  <c r="AC100" i="2" s="1"/>
  <c r="D100" i="2"/>
  <c r="V100" i="2" s="1"/>
  <c r="U104" i="2"/>
  <c r="BA18" i="2"/>
  <c r="BN18" i="2" s="1"/>
  <c r="BA17" i="2"/>
  <c r="BN17" i="2" s="1"/>
  <c r="BA19" i="2"/>
  <c r="BA14" i="2"/>
  <c r="BN14" i="2" s="1"/>
  <c r="BA15" i="2"/>
  <c r="BN15" i="2" s="1"/>
  <c r="BA22" i="2"/>
  <c r="BN22" i="2" s="1"/>
  <c r="BA12" i="2"/>
  <c r="BN12" i="2" s="1"/>
  <c r="BA13" i="2"/>
  <c r="BN13" i="2" s="1"/>
  <c r="BA16" i="2"/>
  <c r="BN16" i="2" s="1"/>
  <c r="Y30" i="2"/>
  <c r="N59" i="2" s="1"/>
  <c r="I70" i="2"/>
  <c r="F102" i="2"/>
  <c r="X102" i="2" s="1"/>
  <c r="K104" i="2"/>
  <c r="AC104" i="2" s="1"/>
  <c r="N99" i="2"/>
  <c r="AF99" i="2" s="1"/>
  <c r="G99" i="2"/>
  <c r="Y99" i="2" s="1"/>
  <c r="F99" i="2"/>
  <c r="X99" i="2" s="1"/>
  <c r="G105" i="2"/>
  <c r="Y105" i="2" s="1"/>
  <c r="P109" i="2"/>
  <c r="J102" i="2"/>
  <c r="AB102" i="2" s="1"/>
  <c r="N104" i="2"/>
  <c r="AF104" i="2" s="1"/>
  <c r="F106" i="2"/>
  <c r="X106" i="2" s="1"/>
  <c r="H100" i="2"/>
  <c r="Z100" i="2" s="1"/>
  <c r="K95" i="2"/>
  <c r="AC95" i="2" s="1"/>
  <c r="N101" i="2"/>
  <c r="AF101" i="2" s="1"/>
  <c r="BA21" i="2"/>
  <c r="BN21" i="2" s="1"/>
  <c r="BF21" i="2"/>
  <c r="AZ21" i="2"/>
  <c r="BM21" i="2" s="1"/>
  <c r="BI19" i="2"/>
  <c r="BV19" i="2" s="1"/>
  <c r="BI22" i="2"/>
  <c r="BV22" i="2" s="1"/>
  <c r="BB21" i="2"/>
  <c r="BO21" i="2" s="1"/>
  <c r="BG21" i="2"/>
  <c r="BT21" i="2" s="1"/>
  <c r="BI18" i="2"/>
  <c r="BV18" i="2" s="1"/>
  <c r="BI16" i="2"/>
  <c r="BV16" i="2" s="1"/>
  <c r="BI15" i="2"/>
  <c r="BV15" i="2" s="1"/>
  <c r="BJ21" i="2"/>
  <c r="BW21" i="2" s="1"/>
  <c r="BC21" i="2"/>
  <c r="BP21" i="2" s="1"/>
  <c r="BI21" i="2"/>
  <c r="BI14" i="2"/>
  <c r="BV14" i="2" s="1"/>
  <c r="BE21" i="2"/>
  <c r="BR21" i="2" s="1"/>
  <c r="BI17" i="2"/>
  <c r="BV17" i="2" s="1"/>
  <c r="BI12" i="2"/>
  <c r="BV12" i="2" s="1"/>
  <c r="BI13" i="2"/>
  <c r="BV13" i="2" s="1"/>
  <c r="BQ21" i="2"/>
  <c r="BJ20" i="2"/>
  <c r="BW20" i="2" s="1"/>
  <c r="BF20" i="2"/>
  <c r="BS20" i="2" s="1"/>
  <c r="BB20" i="2"/>
  <c r="BO20" i="2" s="1"/>
  <c r="BH22" i="2"/>
  <c r="BU22" i="2" s="1"/>
  <c r="BH16" i="2"/>
  <c r="BU16" i="2" s="1"/>
  <c r="BI20" i="2"/>
  <c r="BV20" i="2" s="1"/>
  <c r="BE20" i="2"/>
  <c r="BR20" i="2" s="1"/>
  <c r="BA20" i="2"/>
  <c r="BN20" i="2" s="1"/>
  <c r="BH21" i="2"/>
  <c r="BU21" i="2" s="1"/>
  <c r="BH17" i="2"/>
  <c r="BU17" i="2" s="1"/>
  <c r="BH15" i="2"/>
  <c r="BU15" i="2" s="1"/>
  <c r="BH20" i="2"/>
  <c r="BU20" i="2" s="1"/>
  <c r="AZ20" i="2"/>
  <c r="BM20" i="2" s="1"/>
  <c r="BH18" i="2"/>
  <c r="BU18" i="2" s="1"/>
  <c r="BG20" i="2"/>
  <c r="BT20" i="2" s="1"/>
  <c r="BC20" i="2"/>
  <c r="BP20" i="2" s="1"/>
  <c r="BH19" i="2"/>
  <c r="BU19" i="2" s="1"/>
  <c r="BH14" i="2"/>
  <c r="BU14" i="2" s="1"/>
  <c r="BH13" i="2"/>
  <c r="BU13" i="2" s="1"/>
  <c r="BH12" i="2"/>
  <c r="Y27" i="2"/>
  <c r="K56" i="2" s="1"/>
  <c r="G70" i="2"/>
  <c r="F70" i="2"/>
  <c r="Y26" i="2"/>
  <c r="P55" i="2" s="1"/>
  <c r="Y25" i="2"/>
  <c r="E54" i="2" s="1"/>
  <c r="Y36" i="2"/>
  <c r="J65" i="2" s="1"/>
  <c r="M64" i="2"/>
  <c r="Y34" i="2"/>
  <c r="N63" i="2" s="1"/>
  <c r="BR15" i="2"/>
  <c r="BS21" i="2"/>
  <c r="Y37" i="2"/>
  <c r="P66" i="2" s="1"/>
  <c r="BT15" i="2"/>
  <c r="BV21" i="2"/>
  <c r="H64" i="2"/>
  <c r="K64" i="2"/>
  <c r="F64" i="2"/>
  <c r="BO12" i="2"/>
  <c r="G64" i="2"/>
  <c r="BM16" i="2"/>
  <c r="I64" i="2"/>
  <c r="P64" i="2"/>
  <c r="E64" i="2"/>
  <c r="N64" i="2"/>
  <c r="L64" i="2"/>
  <c r="J64" i="2"/>
  <c r="BO19" i="2"/>
  <c r="BT13" i="2"/>
  <c r="BU12" i="2"/>
  <c r="BQ14" i="2"/>
  <c r="BQ13" i="2"/>
  <c r="BQ20" i="2"/>
  <c r="BR16" i="2"/>
  <c r="BR14" i="2"/>
  <c r="BS22" i="2"/>
  <c r="BR22" i="2"/>
  <c r="BN19" i="2"/>
  <c r="BQ19" i="2"/>
  <c r="BP18" i="2"/>
  <c r="BP13" i="2"/>
  <c r="I68" i="2"/>
  <c r="L68" i="2"/>
  <c r="M68" i="2"/>
  <c r="H61" i="2"/>
  <c r="P61" i="2"/>
  <c r="N61" i="2"/>
  <c r="J61" i="2"/>
  <c r="I61" i="2"/>
  <c r="E61" i="2"/>
  <c r="M61" i="2"/>
  <c r="L61" i="2"/>
  <c r="G61" i="2"/>
  <c r="F61" i="2"/>
  <c r="K61" i="2"/>
  <c r="G68" i="2"/>
  <c r="H68" i="2"/>
  <c r="I58" i="2"/>
  <c r="E58" i="2"/>
  <c r="H58" i="2"/>
  <c r="P58" i="2"/>
  <c r="L58" i="2"/>
  <c r="G58" i="2"/>
  <c r="F58" i="2"/>
  <c r="K58" i="2"/>
  <c r="N58" i="2"/>
  <c r="J58" i="2"/>
  <c r="M58" i="2"/>
  <c r="N68" i="2"/>
  <c r="E68" i="2"/>
  <c r="J60" i="2"/>
  <c r="E60" i="2"/>
  <c r="P60" i="2"/>
  <c r="L57" i="2"/>
  <c r="K57" i="2"/>
  <c r="G57" i="2"/>
  <c r="J57" i="2"/>
  <c r="F57" i="2"/>
  <c r="E57" i="2"/>
  <c r="I57" i="2"/>
  <c r="H57" i="2"/>
  <c r="P57" i="2"/>
  <c r="N57" i="2"/>
  <c r="M57" i="2"/>
  <c r="M63" i="2"/>
  <c r="P68" i="2"/>
  <c r="J68" i="2"/>
  <c r="F68" i="2"/>
  <c r="K68" i="2"/>
  <c r="J54" i="2" l="1"/>
  <c r="F59" i="2"/>
  <c r="H60" i="2"/>
  <c r="G59" i="2"/>
  <c r="N60" i="2"/>
  <c r="H55" i="2"/>
  <c r="I60" i="2"/>
  <c r="I55" i="2"/>
  <c r="M59" i="2"/>
  <c r="P59" i="2"/>
  <c r="F60" i="2"/>
  <c r="F55" i="2"/>
  <c r="T110" i="2"/>
  <c r="G63" i="2"/>
  <c r="L60" i="2"/>
  <c r="G60" i="2"/>
  <c r="K59" i="2"/>
  <c r="I59" i="2"/>
  <c r="K63" i="2"/>
  <c r="M60" i="2"/>
  <c r="E59" i="2"/>
  <c r="E55" i="2"/>
  <c r="T102" i="2"/>
  <c r="I54" i="2"/>
  <c r="J55" i="2"/>
  <c r="L55" i="2"/>
  <c r="E63" i="2"/>
  <c r="G54" i="2"/>
  <c r="G55" i="2"/>
  <c r="H59" i="2"/>
  <c r="L59" i="2"/>
  <c r="H54" i="2"/>
  <c r="K54" i="2"/>
  <c r="M55" i="2"/>
  <c r="K55" i="2"/>
  <c r="J59" i="2"/>
  <c r="T104" i="2"/>
  <c r="H62" i="2"/>
  <c r="M56" i="2"/>
  <c r="L54" i="2"/>
  <c r="I62" i="2"/>
  <c r="N65" i="2"/>
  <c r="M54" i="2"/>
  <c r="R110" i="2"/>
  <c r="N54" i="2"/>
  <c r="N55" i="2"/>
  <c r="F56" i="2"/>
  <c r="H65" i="2"/>
  <c r="F65" i="2"/>
  <c r="F54" i="2"/>
  <c r="P54" i="2"/>
  <c r="E56" i="2"/>
  <c r="I65" i="2"/>
  <c r="O71" i="2"/>
  <c r="T101" i="2"/>
  <c r="P63" i="2"/>
  <c r="H56" i="2"/>
  <c r="P56" i="2"/>
  <c r="G62" i="2"/>
  <c r="T99" i="2"/>
  <c r="T98" i="2"/>
  <c r="U98" i="2"/>
  <c r="N56" i="2"/>
  <c r="J62" i="2"/>
  <c r="F62" i="2"/>
  <c r="H63" i="2"/>
  <c r="I56" i="2"/>
  <c r="N62" i="2"/>
  <c r="L62" i="2"/>
  <c r="T105" i="2"/>
  <c r="U103" i="2"/>
  <c r="T103" i="2"/>
  <c r="L56" i="2"/>
  <c r="G56" i="2"/>
  <c r="K62" i="2"/>
  <c r="Q110" i="2"/>
  <c r="I63" i="2"/>
  <c r="J56" i="2"/>
  <c r="E62" i="2"/>
  <c r="M62" i="2"/>
  <c r="U100" i="2"/>
  <c r="T100" i="2"/>
  <c r="T106" i="2"/>
  <c r="U106" i="2"/>
  <c r="K110" i="2"/>
  <c r="U110" i="2"/>
  <c r="L110" i="2"/>
  <c r="N110" i="2"/>
  <c r="U97" i="2"/>
  <c r="T97" i="2"/>
  <c r="M110" i="2"/>
  <c r="J63" i="2"/>
  <c r="P110" i="2"/>
  <c r="O110" i="2"/>
  <c r="N71" i="2"/>
  <c r="S110" i="2"/>
  <c r="T96" i="2"/>
  <c r="U95" i="2"/>
  <c r="T95" i="2"/>
  <c r="J110" i="2"/>
  <c r="E66" i="2"/>
  <c r="J66" i="2"/>
  <c r="F63" i="2"/>
  <c r="H66" i="2"/>
  <c r="L63" i="2"/>
  <c r="L65" i="2"/>
  <c r="I66" i="2"/>
  <c r="G66" i="2"/>
  <c r="L66" i="2"/>
  <c r="P65" i="2"/>
  <c r="N66" i="2"/>
  <c r="G65" i="2"/>
  <c r="M66" i="2"/>
  <c r="M65" i="2"/>
  <c r="E65" i="2"/>
  <c r="E71" i="2" s="1"/>
  <c r="K66" i="2"/>
  <c r="K65" i="2"/>
  <c r="F66" i="2"/>
  <c r="E69" i="2"/>
  <c r="G69" i="2"/>
  <c r="J69" i="2"/>
  <c r="N69" i="2"/>
  <c r="M69" i="2"/>
  <c r="P69" i="2"/>
  <c r="K69" i="2"/>
  <c r="L69" i="2"/>
  <c r="F69" i="2"/>
  <c r="H69" i="2"/>
  <c r="I69" i="2"/>
  <c r="G71" i="2" l="1"/>
  <c r="H71" i="2"/>
  <c r="M71" i="2"/>
  <c r="I71" i="2"/>
  <c r="P71" i="2"/>
  <c r="F71" i="2"/>
  <c r="L71" i="2"/>
  <c r="J71" i="2"/>
  <c r="K71" i="2"/>
</calcChain>
</file>

<file path=xl/sharedStrings.xml><?xml version="1.0" encoding="utf-8"?>
<sst xmlns="http://schemas.openxmlformats.org/spreadsheetml/2006/main" count="358" uniqueCount="173">
  <si>
    <t>Roof:</t>
  </si>
  <si>
    <t>Positive Correlations</t>
  </si>
  <si>
    <t>No Correlations</t>
  </si>
  <si>
    <t>Negative Correlations</t>
  </si>
  <si>
    <t>Relationship matrix:</t>
  </si>
  <si>
    <t>Strong Relationship</t>
  </si>
  <si>
    <t></t>
  </si>
  <si>
    <t>Medium Relationship</t>
  </si>
  <si>
    <t></t>
  </si>
  <si>
    <t>Weak relationship</t>
  </si>
  <si>
    <t>r</t>
  </si>
  <si>
    <t>Customer Requirements /
Technical Characteristics</t>
  </si>
  <si>
    <t>Degree of importance</t>
  </si>
  <si>
    <t>Relative importance</t>
  </si>
  <si>
    <t>Breathability</t>
  </si>
  <si>
    <t>Tensile strenght</t>
  </si>
  <si>
    <t>Heat resistance</t>
  </si>
  <si>
    <t>Bending rigidity</t>
  </si>
  <si>
    <t>Antibacterical</t>
  </si>
  <si>
    <t>Stretchability</t>
  </si>
  <si>
    <t>Abrasion resistence</t>
  </si>
  <si>
    <t>Evenness of weave pattern</t>
  </si>
  <si>
    <t>Piling resistance</t>
  </si>
  <si>
    <t>Water-vapour resistance</t>
  </si>
  <si>
    <t>Number of colours</t>
  </si>
  <si>
    <t>Number of pockets</t>
  </si>
  <si>
    <t>Our existing model</t>
  </si>
  <si>
    <t>Competitor 1's model</t>
  </si>
  <si>
    <t>Competitor 2's model</t>
  </si>
  <si>
    <t>Target  (new model)</t>
  </si>
  <si>
    <t>Improvement ratio</t>
  </si>
  <si>
    <t>Strength</t>
  </si>
  <si>
    <t>Absolute weight</t>
  </si>
  <si>
    <t>Relative weight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</si>
  <si>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</si>
  <si>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</si>
  <si>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</si>
  <si>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</si>
  <si>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</si>
  <si>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</si>
  <si>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</si>
  <si>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</si>
  <si>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</si>
  <si>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</si>
  <si>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</si>
  <si>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</si>
  <si>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Does not hold sweat</t>
  </si>
  <si>
    <t>Free of movements</t>
  </si>
  <si>
    <t>Does not ruin easily</t>
  </si>
  <si>
    <t>Does not fit wide</t>
  </si>
  <si>
    <t>Has to be warm</t>
  </si>
  <si>
    <t>Quality materials</t>
  </si>
  <si>
    <t>Lots of colours</t>
  </si>
  <si>
    <t>Has to be visible at night</t>
  </si>
  <si>
    <t>Has pockets</t>
  </si>
  <si>
    <t>Does not create irritation</t>
  </si>
  <si>
    <t xml:space="preserve">Has to be soft </t>
  </si>
  <si>
    <t>Without seams</t>
  </si>
  <si>
    <t>Total</t>
  </si>
  <si>
    <t>↑</t>
  </si>
  <si>
    <t>↓</t>
  </si>
  <si>
    <t>Technical Importance</t>
  </si>
  <si>
    <t>Technical relative imp.</t>
  </si>
  <si>
    <t>Unit of measurement</t>
  </si>
  <si>
    <r>
      <t>g/m</t>
    </r>
    <r>
      <rPr>
        <vertAlign val="superscript"/>
        <sz val="8"/>
        <color rgb="FF000000"/>
        <rFont val="Calibri"/>
        <family val="2"/>
        <charset val="1"/>
      </rPr>
      <t>2</t>
    </r>
    <r>
      <rPr>
        <sz val="8"/>
        <color rgb="FF000000"/>
        <rFont val="Calibri"/>
        <family val="2"/>
        <charset val="1"/>
      </rPr>
      <t> die</t>
    </r>
  </si>
  <si>
    <t>N/mm</t>
  </si>
  <si>
    <r>
      <rPr>
        <sz val="11"/>
        <color rgb="FF000000"/>
        <rFont val="Calibri"/>
        <family val="2"/>
      </rPr>
      <t>K*m</t>
    </r>
    <r>
      <rPr>
        <vertAlign val="superscript"/>
        <sz val="11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>/W</t>
    </r>
  </si>
  <si>
    <t>Percentage of positive ISO tests</t>
  </si>
  <si>
    <t>% max stretch</t>
  </si>
  <si>
    <t>abrasion cycles</t>
  </si>
  <si>
    <t>number of snags</t>
  </si>
  <si>
    <t>scale from 1 to 5</t>
  </si>
  <si>
    <r>
      <t>Ret(m</t>
    </r>
    <r>
      <rPr>
        <vertAlign val="superscript"/>
        <sz val="11"/>
        <color rgb="FF000000"/>
        <rFont val="Calibri"/>
        <family val="2"/>
        <charset val="1"/>
      </rPr>
      <t>2</t>
    </r>
    <r>
      <rPr>
        <sz val="11"/>
        <color rgb="FF000000"/>
        <rFont val="Calibri"/>
        <family val="2"/>
        <charset val="1"/>
      </rPr>
      <t>Pa/W)</t>
    </r>
  </si>
  <si>
    <t>Number </t>
  </si>
  <si>
    <t>Target (new model)</t>
  </si>
  <si>
    <r>
      <t>10</t>
    </r>
    <r>
      <rPr>
        <vertAlign val="superscript"/>
        <sz val="11"/>
        <color rgb="FF000000"/>
        <rFont val="Calibri"/>
        <family val="2"/>
      </rPr>
      <t>-6</t>
    </r>
    <r>
      <rPr>
        <sz val="11"/>
        <color rgb="FF000000"/>
        <rFont val="Calibri"/>
        <family val="2"/>
      </rPr>
      <t>Nm</t>
    </r>
    <r>
      <rPr>
        <vertAlign val="superscript"/>
        <sz val="11"/>
        <color rgb="FF000000"/>
        <rFont val="Calibri"/>
        <family val="2"/>
      </rPr>
      <t xml:space="preserve"> </t>
    </r>
  </si>
  <si>
    <t>0.25</t>
  </si>
  <si>
    <t>0.07</t>
  </si>
  <si>
    <t>0.05</t>
  </si>
  <si>
    <t>Coefficients</t>
  </si>
  <si>
    <t>Sum</t>
  </si>
  <si>
    <t>ISM without applying the Lymans Normalization</t>
  </si>
  <si>
    <t>Coefficients corrected by the Lyman's Normalization</t>
  </si>
  <si>
    <t>ISM using the coefficients "corrected" by Lyman's Normalization</t>
  </si>
  <si>
    <t>(Technical) Absolute weight (no LYMAN)</t>
  </si>
  <si>
    <t>(Technical) Relative weight (no LYMAN)</t>
  </si>
  <si>
    <t>ranking</t>
  </si>
  <si>
    <t>Q-bench</t>
  </si>
  <si>
    <t>Denominator</t>
  </si>
  <si>
    <t>Nominator</t>
  </si>
  <si>
    <t>Relative Importance</t>
  </si>
  <si>
    <t>Percentage</t>
  </si>
  <si>
    <t>our model</t>
  </si>
  <si>
    <t>competitor 1</t>
  </si>
  <si>
    <t>competitor 2</t>
  </si>
  <si>
    <t xml:space="preserve">domain contraction </t>
  </si>
  <si>
    <t>40-55</t>
  </si>
  <si>
    <t>100-130</t>
  </si>
  <si>
    <t>10000-30000</t>
  </si>
  <si>
    <t>20-30</t>
  </si>
  <si>
    <t>85-100</t>
  </si>
  <si>
    <t>15-40</t>
  </si>
  <si>
    <t>10000-20000</t>
  </si>
  <si>
    <t>1--4</t>
  </si>
  <si>
    <t>0.05-0.30</t>
  </si>
  <si>
    <t>2--7</t>
  </si>
  <si>
    <t>0-1</t>
  </si>
  <si>
    <t xml:space="preserve">we are not sure about how to find the domain </t>
  </si>
  <si>
    <t>target new model</t>
  </si>
  <si>
    <r>
      <t>(a,a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)</t>
    </r>
  </si>
  <si>
    <r>
      <t>(a,a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)</t>
    </r>
  </si>
  <si>
    <r>
      <t>(a,a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</si>
  <si>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r>
      <t>(a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,a)</t>
    </r>
  </si>
  <si>
    <r>
      <t>(a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,a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)</t>
    </r>
  </si>
  <si>
    <r>
      <t>(a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,a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</si>
  <si>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r>
      <t>(a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,a)</t>
    </r>
  </si>
  <si>
    <r>
      <t>(a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,a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)</t>
    </r>
  </si>
  <si>
    <r>
      <t>(a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,a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</si>
  <si>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r>
      <t>(a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,a)</t>
    </r>
  </si>
  <si>
    <r>
      <t>(a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,a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)</t>
    </r>
  </si>
  <si>
    <r>
      <t>(a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,a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)</t>
    </r>
  </si>
  <si>
    <t>M</t>
  </si>
  <si>
    <t>N</t>
  </si>
  <si>
    <t>VERIFICATION TEST</t>
  </si>
  <si>
    <t>J+</t>
  </si>
  <si>
    <t>J=</t>
  </si>
  <si>
    <t>J-</t>
  </si>
  <si>
    <t>-</t>
  </si>
  <si>
    <t>A,F,G,H,I,L</t>
  </si>
  <si>
    <t>B,C,D,E,M,N</t>
  </si>
  <si>
    <t>A,C,D,E,F,G,H,I,L</t>
  </si>
  <si>
    <t>B,M</t>
  </si>
  <si>
    <t>W+</t>
  </si>
  <si>
    <t>W=</t>
  </si>
  <si>
    <t>W-</t>
  </si>
  <si>
    <t>aOa'</t>
  </si>
  <si>
    <t>yes</t>
  </si>
  <si>
    <t>W+ / W- &gt;= 1</t>
  </si>
  <si>
    <t>(W+ + W=) / W &gt;= 2/3</t>
  </si>
  <si>
    <t>A,B,C,F,H,N</t>
  </si>
  <si>
    <t>no</t>
  </si>
  <si>
    <t>A, F,G,I,H,L</t>
  </si>
  <si>
    <t>A,C,D,E,G,H,I,L</t>
  </si>
  <si>
    <t>B,F,M</t>
  </si>
  <si>
    <t>D,E,M</t>
  </si>
  <si>
    <t>B,C,I,L,N</t>
  </si>
  <si>
    <t>A,F,G,H</t>
  </si>
  <si>
    <t>D,N</t>
  </si>
  <si>
    <t>A,C,E,F,G,H,I,L</t>
  </si>
  <si>
    <t>D,E,G,I,L,M</t>
  </si>
  <si>
    <t>Unique reference</t>
  </si>
  <si>
    <t xml:space="preserve">Function </t>
  </si>
  <si>
    <t>Operational Mode</t>
  </si>
  <si>
    <t xml:space="preserve">N.1 </t>
  </si>
  <si>
    <t>Moisture Wicking</t>
  </si>
  <si>
    <t>N.2</t>
  </si>
  <si>
    <t>Temperature Regulation</t>
  </si>
  <si>
    <t>N.3</t>
  </si>
  <si>
    <t>Comfortable Fit</t>
  </si>
  <si>
    <t>N.4</t>
  </si>
  <si>
    <t>Durability</t>
  </si>
  <si>
    <t>N.5</t>
  </si>
  <si>
    <t>Visibility Enhancement</t>
  </si>
  <si>
    <t>N.6</t>
  </si>
  <si>
    <t>Ventilation</t>
  </si>
  <si>
    <t>N.7</t>
  </si>
  <si>
    <t>Allergen-Free Design</t>
  </si>
  <si>
    <t>Light running</t>
  </si>
  <si>
    <t>Washing and Maintenance</t>
  </si>
  <si>
    <t>Intense exercise</t>
  </si>
  <si>
    <t>Regular running, intense exercise</t>
  </si>
  <si>
    <t>Regular running, intense exercise, everyday wear</t>
  </si>
  <si>
    <t>Regular running, intense exercise, everyday wear, light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</si>
</sst>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8"/>
      <name val="Wingdings 2"/>
      <family val="1"/>
      <charset val="2"/>
    </font>
    <font>
      <sz val="10"/>
      <color indexed="18"/>
      <name val="Wingdings 3"/>
      <family val="1"/>
      <charset val="2"/>
    </font>
    <font>
      <b/>
      <sz val="9"/>
      <name val="Arial"/>
      <family val="2"/>
    </font>
    <font>
      <sz val="9"/>
      <color indexed="13"/>
      <name val="Arial"/>
      <family val="2"/>
    </font>
    <font>
      <sz val="10"/>
      <color indexed="13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9"/>
      <name val="Arial"/>
      <family val="2"/>
    </font>
    <font>
      <sz val="10"/>
      <color indexed="9"/>
      <name val="Wingdings 2"/>
      <family val="1"/>
      <charset val="2"/>
    </font>
    <font>
      <sz val="8"/>
      <name val="Arial"/>
      <family val="2"/>
    </font>
    <font>
      <b/>
      <sz val="14"/>
      <name val="Arial"/>
      <family val="2"/>
    </font>
    <font>
      <sz val="10"/>
      <color indexed="12"/>
      <name val="Arial"/>
      <family val="2"/>
    </font>
    <font>
      <sz val="10"/>
      <color theme="8" tint="0.79998168889431442"/>
      <name val="Arial"/>
      <family val="2"/>
    </font>
    <font>
      <sz val="10"/>
      <color theme="9" tint="-0.249977111117893"/>
      <name val="Wingdings 2"/>
      <family val="1"/>
      <charset val="2"/>
    </font>
    <font>
      <sz val="10"/>
      <color theme="9" tint="-0.249977111117893"/>
      <name val="Wingdings 3"/>
      <family val="1"/>
      <charset val="2"/>
    </font>
    <font>
      <sz val="10"/>
      <color theme="9" tint="-0.249977111117893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charset val="1"/>
    </font>
    <font>
      <b/>
      <sz val="9"/>
      <color rgb="FF000000"/>
      <name val="Arial"/>
      <family val="2"/>
    </font>
    <font>
      <vertAlign val="superscript"/>
      <sz val="8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  <font>
      <sz val="6"/>
      <color rgb="FF000000"/>
      <name val="Calibri"/>
      <family val="2"/>
      <charset val="1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vertAlign val="subscript"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28" fillId="0" borderId="0" applyFont="0" applyFill="0" applyBorder="0" applyAlignment="0" applyProtection="0"/>
  </cellStyleXfs>
  <cellXfs count="132">
    <xf numFmtId="0" fontId="0" fillId="0" borderId="0" xfId="0"/>
    <xf numFmtId="0" fontId="1" fillId="2" borderId="0" xfId="1" applyFill="1"/>
    <xf numFmtId="0" fontId="1" fillId="0" borderId="0" xfId="1"/>
    <xf numFmtId="0" fontId="6" fillId="3" borderId="0" xfId="1" applyFont="1" applyFill="1" applyAlignment="1">
      <alignment horizontal="center" textRotation="90" wrapText="1"/>
    </xf>
    <xf numFmtId="0" fontId="2" fillId="0" borderId="1" xfId="1" applyFont="1" applyBorder="1" applyAlignment="1">
      <alignment horizontal="center"/>
    </xf>
    <xf numFmtId="0" fontId="7" fillId="3" borderId="0" xfId="1" applyFont="1" applyFill="1" applyAlignment="1">
      <alignment horizontal="center"/>
    </xf>
    <xf numFmtId="0" fontId="8" fillId="0" borderId="1" xfId="1" applyFont="1" applyBorder="1" applyAlignment="1">
      <alignment horizontal="center"/>
    </xf>
    <xf numFmtId="0" fontId="1" fillId="0" borderId="1" xfId="1" applyBorder="1"/>
    <xf numFmtId="0" fontId="2" fillId="3" borderId="1" xfId="1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0" fontId="11" fillId="3" borderId="0" xfId="1" applyFont="1" applyFill="1" applyAlignment="1">
      <alignment horizontal="center"/>
    </xf>
    <xf numFmtId="0" fontId="8" fillId="3" borderId="1" xfId="1" applyFont="1" applyFill="1" applyBorder="1" applyAlignment="1">
      <alignment horizontal="center"/>
    </xf>
    <xf numFmtId="2" fontId="8" fillId="3" borderId="1" xfId="1" applyNumberFormat="1" applyFont="1" applyFill="1" applyBorder="1" applyAlignment="1">
      <alignment horizontal="center"/>
    </xf>
    <xf numFmtId="165" fontId="8" fillId="3" borderId="1" xfId="1" applyNumberFormat="1" applyFont="1" applyFill="1" applyBorder="1" applyAlignment="1">
      <alignment horizontal="center"/>
    </xf>
    <xf numFmtId="164" fontId="8" fillId="3" borderId="1" xfId="1" applyNumberFormat="1" applyFont="1" applyFill="1" applyBorder="1" applyAlignment="1">
      <alignment horizontal="center"/>
    </xf>
    <xf numFmtId="2" fontId="8" fillId="0" borderId="1" xfId="1" applyNumberFormat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1" fillId="3" borderId="0" xfId="1" applyFill="1"/>
    <xf numFmtId="0" fontId="2" fillId="3" borderId="0" xfId="1" applyFont="1" applyFill="1" applyAlignment="1">
      <alignment horizontal="right"/>
    </xf>
    <xf numFmtId="0" fontId="13" fillId="3" borderId="0" xfId="1" applyFont="1" applyFill="1" applyAlignment="1">
      <alignment horizontal="center"/>
    </xf>
    <xf numFmtId="0" fontId="7" fillId="3" borderId="0" xfId="1" applyFont="1" applyFill="1"/>
    <xf numFmtId="165" fontId="1" fillId="3" borderId="0" xfId="1" applyNumberFormat="1" applyFill="1"/>
    <xf numFmtId="0" fontId="2" fillId="3" borderId="0" xfId="1" applyFont="1" applyFill="1"/>
    <xf numFmtId="0" fontId="14" fillId="0" borderId="1" xfId="1" applyFont="1" applyBorder="1" applyAlignment="1">
      <alignment horizontal="center"/>
    </xf>
    <xf numFmtId="0" fontId="14" fillId="0" borderId="0" xfId="1" applyFont="1" applyAlignment="1">
      <alignment horizontal="center"/>
    </xf>
    <xf numFmtId="0" fontId="2" fillId="3" borderId="0" xfId="1" applyFont="1" applyFill="1" applyAlignment="1">
      <alignment horizontal="center"/>
    </xf>
    <xf numFmtId="164" fontId="2" fillId="3" borderId="0" xfId="1" applyNumberFormat="1" applyFont="1" applyFill="1" applyAlignment="1">
      <alignment horizontal="center"/>
    </xf>
    <xf numFmtId="10" fontId="2" fillId="3" borderId="0" xfId="1" applyNumberFormat="1" applyFont="1" applyFill="1" applyAlignment="1">
      <alignment horizontal="center"/>
    </xf>
    <xf numFmtId="0" fontId="14" fillId="4" borderId="0" xfId="1" applyFont="1" applyFill="1"/>
    <xf numFmtId="10" fontId="7" fillId="3" borderId="0" xfId="1" applyNumberFormat="1" applyFont="1" applyFill="1" applyAlignment="1">
      <alignment horizontal="center"/>
    </xf>
    <xf numFmtId="2" fontId="14" fillId="4" borderId="0" xfId="1" applyNumberFormat="1" applyFont="1" applyFill="1" applyAlignment="1">
      <alignment horizontal="center"/>
    </xf>
    <xf numFmtId="2" fontId="7" fillId="3" borderId="0" xfId="1" applyNumberFormat="1" applyFont="1" applyFill="1"/>
    <xf numFmtId="0" fontId="14" fillId="4" borderId="0" xfId="1" applyFont="1" applyFill="1" applyAlignment="1">
      <alignment horizontal="center"/>
    </xf>
    <xf numFmtId="2" fontId="14" fillId="4" borderId="0" xfId="1" applyNumberFormat="1" applyFont="1" applyFill="1"/>
    <xf numFmtId="0" fontId="2" fillId="3" borderId="1" xfId="1" applyFont="1" applyFill="1" applyBorder="1" applyAlignment="1">
      <alignment horizontal="right"/>
    </xf>
    <xf numFmtId="2" fontId="7" fillId="3" borderId="0" xfId="1" applyNumberFormat="1" applyFont="1" applyFill="1" applyAlignment="1">
      <alignment horizontal="center"/>
    </xf>
    <xf numFmtId="164" fontId="7" fillId="3" borderId="0" xfId="1" applyNumberFormat="1" applyFont="1" applyFill="1" applyAlignment="1">
      <alignment horizontal="center"/>
    </xf>
    <xf numFmtId="0" fontId="1" fillId="3" borderId="1" xfId="1" applyFill="1" applyBorder="1" applyAlignment="1">
      <alignment horizontal="center"/>
    </xf>
    <xf numFmtId="2" fontId="1" fillId="0" borderId="0" xfId="1" applyNumberFormat="1"/>
    <xf numFmtId="0" fontId="2" fillId="5" borderId="1" xfId="1" applyFont="1" applyFill="1" applyBorder="1" applyAlignment="1">
      <alignment horizontal="center"/>
    </xf>
    <xf numFmtId="0" fontId="15" fillId="3" borderId="0" xfId="1" applyFont="1" applyFill="1"/>
    <xf numFmtId="0" fontId="12" fillId="0" borderId="0" xfId="1" applyFont="1" applyAlignment="1">
      <alignment horizontal="center"/>
    </xf>
    <xf numFmtId="0" fontId="8" fillId="0" borderId="1" xfId="1" applyFont="1" applyBorder="1"/>
    <xf numFmtId="0" fontId="1" fillId="0" borderId="1" xfId="1" applyBorder="1" applyAlignment="1">
      <alignment horizontal="center"/>
    </xf>
    <xf numFmtId="10" fontId="8" fillId="0" borderId="1" xfId="1" applyNumberFormat="1" applyFont="1" applyBorder="1" applyAlignment="1">
      <alignment horizontal="center"/>
    </xf>
    <xf numFmtId="10" fontId="8" fillId="0" borderId="0" xfId="1" applyNumberFormat="1" applyFont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8" fillId="2" borderId="0" xfId="1" applyFont="1" applyFill="1"/>
    <xf numFmtId="0" fontId="8" fillId="0" borderId="0" xfId="1" applyFont="1"/>
    <xf numFmtId="0" fontId="2" fillId="6" borderId="1" xfId="1" applyFont="1" applyFill="1" applyBorder="1" applyAlignment="1">
      <alignment horizontal="center"/>
    </xf>
    <xf numFmtId="0" fontId="9" fillId="6" borderId="1" xfId="1" applyFont="1" applyFill="1" applyBorder="1"/>
    <xf numFmtId="0" fontId="9" fillId="5" borderId="1" xfId="1" applyFont="1" applyFill="1" applyBorder="1"/>
    <xf numFmtId="0" fontId="2" fillId="7" borderId="1" xfId="1" applyFont="1" applyFill="1" applyBorder="1" applyAlignment="1">
      <alignment horizontal="center"/>
    </xf>
    <xf numFmtId="0" fontId="9" fillId="7" borderId="1" xfId="1" applyFont="1" applyFill="1" applyBorder="1"/>
    <xf numFmtId="0" fontId="2" fillId="8" borderId="1" xfId="1" applyFont="1" applyFill="1" applyBorder="1" applyAlignment="1">
      <alignment horizontal="center"/>
    </xf>
    <xf numFmtId="0" fontId="9" fillId="8" borderId="1" xfId="1" applyFont="1" applyFill="1" applyBorder="1"/>
    <xf numFmtId="0" fontId="5" fillId="9" borderId="1" xfId="1" applyFont="1" applyFill="1" applyBorder="1" applyAlignment="1">
      <alignment horizontal="center" vertical="center" textRotation="90" wrapText="1"/>
    </xf>
    <xf numFmtId="0" fontId="5" fillId="8" borderId="1" xfId="1" applyFont="1" applyFill="1" applyBorder="1" applyAlignment="1">
      <alignment horizontal="center" vertical="center" textRotation="90" wrapText="1"/>
    </xf>
    <xf numFmtId="0" fontId="16" fillId="0" borderId="1" xfId="1" applyFont="1" applyBorder="1" applyAlignment="1">
      <alignment horizontal="center"/>
    </xf>
    <xf numFmtId="0" fontId="17" fillId="0" borderId="1" xfId="1" applyFont="1" applyBorder="1" applyAlignment="1">
      <alignment horizontal="center"/>
    </xf>
    <xf numFmtId="0" fontId="17" fillId="0" borderId="2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6" fillId="2" borderId="2" xfId="1" applyFont="1" applyFill="1" applyBorder="1" applyAlignment="1">
      <alignment horizontal="center"/>
    </xf>
    <xf numFmtId="0" fontId="16" fillId="2" borderId="6" xfId="1" applyFont="1" applyFill="1" applyBorder="1" applyAlignment="1">
      <alignment horizontal="center"/>
    </xf>
    <xf numFmtId="0" fontId="17" fillId="2" borderId="7" xfId="1" applyFont="1" applyFill="1" applyBorder="1" applyAlignment="1">
      <alignment horizontal="center"/>
    </xf>
    <xf numFmtId="0" fontId="2" fillId="0" borderId="0" xfId="1" applyFont="1" applyAlignment="1">
      <alignment horizontal="center"/>
    </xf>
    <xf numFmtId="164" fontId="19" fillId="3" borderId="0" xfId="1" applyNumberFormat="1" applyFont="1" applyFill="1" applyAlignment="1">
      <alignment horizontal="center"/>
    </xf>
    <xf numFmtId="0" fontId="20" fillId="0" borderId="8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0" xfId="0" applyFont="1"/>
    <xf numFmtId="0" fontId="16" fillId="2" borderId="12" xfId="1" applyFont="1" applyFill="1" applyBorder="1" applyAlignment="1">
      <alignment horizontal="center"/>
    </xf>
    <xf numFmtId="0" fontId="16" fillId="2" borderId="13" xfId="1" applyFont="1" applyFill="1" applyBorder="1" applyAlignment="1">
      <alignment horizontal="center"/>
    </xf>
    <xf numFmtId="0" fontId="21" fillId="9" borderId="1" xfId="1" applyFont="1" applyFill="1" applyBorder="1" applyAlignment="1">
      <alignment horizontal="center" vertical="center" textRotation="90" wrapText="1"/>
    </xf>
    <xf numFmtId="0" fontId="21" fillId="8" borderId="1" xfId="1" applyFont="1" applyFill="1" applyBorder="1" applyAlignment="1">
      <alignment horizontal="center" vertical="center" textRotation="90" wrapText="1"/>
    </xf>
    <xf numFmtId="2" fontId="20" fillId="0" borderId="8" xfId="0" applyNumberFormat="1" applyFont="1" applyBorder="1"/>
    <xf numFmtId="2" fontId="20" fillId="0" borderId="10" xfId="0" applyNumberFormat="1" applyFont="1" applyBorder="1"/>
    <xf numFmtId="0" fontId="23" fillId="0" borderId="8" xfId="0" applyFont="1" applyBorder="1"/>
    <xf numFmtId="0" fontId="20" fillId="0" borderId="10" xfId="0" applyFont="1" applyBorder="1" applyAlignment="1">
      <alignment wrapText="1"/>
    </xf>
    <xf numFmtId="0" fontId="25" fillId="0" borderId="0" xfId="0" applyFont="1"/>
    <xf numFmtId="0" fontId="26" fillId="0" borderId="10" xfId="0" applyFont="1" applyBorder="1"/>
    <xf numFmtId="9" fontId="8" fillId="3" borderId="1" xfId="1" applyNumberFormat="1" applyFont="1" applyFill="1" applyBorder="1" applyAlignment="1">
      <alignment horizontal="center"/>
    </xf>
    <xf numFmtId="9" fontId="2" fillId="3" borderId="1" xfId="1" applyNumberFormat="1" applyFont="1" applyFill="1" applyBorder="1" applyAlignment="1">
      <alignment horizontal="center"/>
    </xf>
    <xf numFmtId="0" fontId="30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1" fillId="0" borderId="0" xfId="0" applyFont="1"/>
    <xf numFmtId="0" fontId="0" fillId="0" borderId="19" xfId="0" applyBorder="1"/>
    <xf numFmtId="0" fontId="0" fillId="0" borderId="20" xfId="0" applyBorder="1"/>
    <xf numFmtId="0" fontId="30" fillId="0" borderId="22" xfId="0" applyFont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0" xfId="0" applyNumberFormat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30" fillId="0" borderId="14" xfId="0" applyNumberFormat="1" applyFont="1" applyBorder="1"/>
    <xf numFmtId="2" fontId="31" fillId="0" borderId="0" xfId="0" applyNumberFormat="1" applyFont="1"/>
    <xf numFmtId="2" fontId="29" fillId="0" borderId="17" xfId="0" applyNumberFormat="1" applyFont="1" applyBorder="1" applyAlignment="1">
      <alignment vertical="center"/>
    </xf>
    <xf numFmtId="2" fontId="29" fillId="0" borderId="0" xfId="0" applyNumberFormat="1" applyFont="1" applyAlignment="1">
      <alignment vertical="center"/>
    </xf>
    <xf numFmtId="0" fontId="30" fillId="0" borderId="19" xfId="0" applyFont="1" applyBorder="1"/>
    <xf numFmtId="9" fontId="0" fillId="0" borderId="20" xfId="2" applyFont="1" applyBorder="1"/>
    <xf numFmtId="2" fontId="0" fillId="0" borderId="23" xfId="0" applyNumberFormat="1" applyBorder="1"/>
    <xf numFmtId="2" fontId="0" fillId="0" borderId="24" xfId="0" applyNumberFormat="1" applyBorder="1"/>
    <xf numFmtId="9" fontId="0" fillId="0" borderId="21" xfId="2" applyFont="1" applyBorder="1"/>
    <xf numFmtId="0" fontId="16" fillId="2" borderId="1" xfId="1" applyFont="1" applyFill="1" applyBorder="1" applyAlignment="1">
      <alignment horizontal="center"/>
    </xf>
    <xf numFmtId="0" fontId="5" fillId="9" borderId="28" xfId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right"/>
    </xf>
    <xf numFmtId="0" fontId="1" fillId="0" borderId="0" xfId="1" applyAlignment="1">
      <alignment horizontal="center"/>
    </xf>
    <xf numFmtId="10" fontId="1" fillId="0" borderId="1" xfId="1" applyNumberFormat="1" applyBorder="1" applyAlignment="1">
      <alignment horizontal="center"/>
    </xf>
    <xf numFmtId="16" fontId="1" fillId="0" borderId="0" xfId="1" applyNumberFormat="1" applyAlignment="1">
      <alignment horizontal="center"/>
    </xf>
    <xf numFmtId="10" fontId="1" fillId="0" borderId="0" xfId="1" applyNumberFormat="1" applyAlignment="1">
      <alignment horizontal="center"/>
    </xf>
    <xf numFmtId="0" fontId="2" fillId="0" borderId="0" xfId="1" applyFont="1"/>
    <xf numFmtId="10" fontId="1" fillId="0" borderId="0" xfId="1" applyNumberFormat="1"/>
    <xf numFmtId="2" fontId="0" fillId="0" borderId="15" xfId="0" applyNumberFormat="1" applyBorder="1"/>
    <xf numFmtId="0" fontId="30" fillId="0" borderId="25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5" fillId="3" borderId="1" xfId="1" applyFont="1" applyFill="1" applyBorder="1" applyAlignment="1">
      <alignment horizontal="center" textRotation="90" wrapText="1"/>
    </xf>
    <xf numFmtId="0" fontId="2" fillId="3" borderId="1" xfId="1" applyFont="1" applyFill="1" applyBorder="1" applyAlignment="1">
      <alignment horizontal="center" vertical="center" wrapText="1"/>
    </xf>
    <xf numFmtId="0" fontId="1" fillId="0" borderId="0" xfId="1" applyAlignment="1">
      <alignment wrapText="1"/>
    </xf>
  </cellXfs>
  <cellStyles count="3">
    <cellStyle name="Normal" xfId="0" builtinId="0"/>
    <cellStyle name="Normale 2" xfId="1" xr:uid="{F512D55E-67FD-4E57-9BE6-2EEB7E775EB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Ranking Comparison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'Final HoQ on Running T-shirt'!$J$111:$U$111</c:f>
              <c:numCache>
                <c:formatCode>General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5</c:v>
                </c:pt>
                <c:pt idx="9">
                  <c:v>1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3-414A-9BFB-8706CB2F5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9530848"/>
        <c:axId val="177242416"/>
      </c:lineChart>
      <c:catAx>
        <c:axId val="499530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242416"/>
        <c:crosses val="autoZero"/>
        <c:auto val="1"/>
        <c:lblAlgn val="ctr"/>
        <c:lblOffset val="100"/>
        <c:noMultiLvlLbl val="0"/>
      </c:catAx>
      <c:valAx>
        <c:axId val="17724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953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236274</xdr:colOff>
      <xdr:row>0</xdr:row>
      <xdr:rowOff>0</xdr:rowOff>
    </xdr:from>
    <xdr:to>
      <xdr:col>16</xdr:col>
      <xdr:colOff>3265</xdr:colOff>
      <xdr:row>8</xdr:row>
      <xdr:rowOff>235566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C8C8D28-B26E-404B-908F-699FFE1363BD}"/>
            </a:ext>
          </a:extLst>
        </xdr:cNvPr>
        <xdr:cNvGrpSpPr>
          <a:grpSpLocks/>
        </xdr:cNvGrpSpPr>
      </xdr:nvGrpSpPr>
      <xdr:grpSpPr bwMode="auto">
        <a:xfrm>
          <a:off x="2937141" y="0"/>
          <a:ext cx="6675791" cy="2123633"/>
          <a:chOff x="416" y="167"/>
          <a:chExt cx="398" cy="225"/>
        </a:xfrm>
      </xdr:grpSpPr>
      <xdr:sp macro="" textlink="">
        <xdr:nvSpPr>
          <xdr:cNvPr id="3" name="Line 2">
            <a:extLst>
              <a:ext uri="{FF2B5EF4-FFF2-40B4-BE49-F238E27FC236}">
                <a16:creationId xmlns:a16="http://schemas.microsoft.com/office/drawing/2014/main" id="{EE71DACE-9F00-4DC7-A630-7429EA3375D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603" y="167"/>
            <a:ext cx="211" cy="224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DEED5F9C-AC29-493B-B9D2-E580A27997D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32" y="215"/>
            <a:ext cx="169" cy="177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C213E32E-269F-4838-BDDE-81F3C83B203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53" y="189"/>
            <a:ext cx="186" cy="203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D56C925B-A0BE-4F67-8C1C-4522A057DFE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483" y="282"/>
            <a:ext cx="105" cy="110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9B71BB08-D5D9-41CB-BE52-FB4C6B061E0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467" y="303"/>
            <a:ext cx="83" cy="89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644FC11E-B472-4ADE-973F-09D6C189F60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450" y="326"/>
            <a:ext cx="62" cy="66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7E7B243D-AF4D-4078-9D82-11436ADD97B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432" y="348"/>
            <a:ext cx="42" cy="44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46E3AFF0-7E38-4A7E-8DDC-31FE5AE0EC1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416" y="370"/>
            <a:ext cx="21" cy="22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4">
            <a:extLst>
              <a:ext uri="{FF2B5EF4-FFF2-40B4-BE49-F238E27FC236}">
                <a16:creationId xmlns:a16="http://schemas.microsoft.com/office/drawing/2014/main" id="{03909E2E-BA58-441B-BE3C-DC7E02DF877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16" y="238"/>
            <a:ext cx="147" cy="154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4">
            <a:extLst>
              <a:ext uri="{FF2B5EF4-FFF2-40B4-BE49-F238E27FC236}">
                <a16:creationId xmlns:a16="http://schemas.microsoft.com/office/drawing/2014/main" id="{519F9D8A-C6ED-40F4-86DF-67984E2B5AC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499" y="260"/>
            <a:ext cx="126" cy="132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5">
            <a:extLst>
              <a:ext uri="{FF2B5EF4-FFF2-40B4-BE49-F238E27FC236}">
                <a16:creationId xmlns:a16="http://schemas.microsoft.com/office/drawing/2014/main" id="{18543C9C-B889-44EC-A289-64DA285944E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572" y="169"/>
            <a:ext cx="204" cy="223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147851</xdr:colOff>
      <xdr:row>2</xdr:row>
      <xdr:rowOff>79612</xdr:rowOff>
    </xdr:from>
    <xdr:to>
      <xdr:col>2</xdr:col>
      <xdr:colOff>255219</xdr:colOff>
      <xdr:row>2</xdr:row>
      <xdr:rowOff>183821</xdr:rowOff>
    </xdr:to>
    <xdr:sp macro="" textlink="">
      <xdr:nvSpPr>
        <xdr:cNvPr id="36" name="AutoShape 23">
          <a:extLst>
            <a:ext uri="{FF2B5EF4-FFF2-40B4-BE49-F238E27FC236}">
              <a16:creationId xmlns:a16="http://schemas.microsoft.com/office/drawing/2014/main" id="{E8B295F9-2ECE-4E64-8E59-8C0FA39EF575}"/>
            </a:ext>
          </a:extLst>
        </xdr:cNvPr>
        <xdr:cNvSpPr>
          <a:spLocks noChangeArrowheads="1"/>
        </xdr:cNvSpPr>
      </xdr:nvSpPr>
      <xdr:spPr bwMode="auto">
        <a:xfrm>
          <a:off x="2007131" y="788272"/>
          <a:ext cx="107368" cy="104209"/>
        </a:xfrm>
        <a:prstGeom prst="octagon">
          <a:avLst>
            <a:gd name="adj" fmla="val 29287"/>
          </a:avLst>
        </a:prstGeom>
        <a:noFill/>
        <a:ln w="19050" cap="rnd">
          <a:solidFill>
            <a:srgbClr val="0070C0"/>
          </a:solidFill>
          <a:prstDash val="sysDot"/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0</xdr:row>
      <xdr:rowOff>0</xdr:rowOff>
    </xdr:from>
    <xdr:to>
      <xdr:col>15</xdr:col>
      <xdr:colOff>238144</xdr:colOff>
      <xdr:row>9</xdr:row>
      <xdr:rowOff>0</xdr:rowOff>
    </xdr:to>
    <xdr:grpSp>
      <xdr:nvGrpSpPr>
        <xdr:cNvPr id="59" name="Gruppo 58">
          <a:extLst>
            <a:ext uri="{FF2B5EF4-FFF2-40B4-BE49-F238E27FC236}">
              <a16:creationId xmlns:a16="http://schemas.microsoft.com/office/drawing/2014/main" id="{9CDA7EBC-1ABE-472F-A7D6-FE732CF86760}"/>
            </a:ext>
          </a:extLst>
        </xdr:cNvPr>
        <xdr:cNvGrpSpPr/>
      </xdr:nvGrpSpPr>
      <xdr:grpSpPr>
        <a:xfrm>
          <a:off x="2700867" y="0"/>
          <a:ext cx="6571210" cy="2125133"/>
          <a:chOff x="2766391" y="0"/>
          <a:chExt cx="5373362" cy="2136913"/>
        </a:xfrm>
      </xdr:grpSpPr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23EDD513-6934-4D15-ADED-E9DEB3A8BA13}"/>
              </a:ext>
            </a:extLst>
          </xdr:cNvPr>
          <xdr:cNvSpPr>
            <a:spLocks noChangeShapeType="1"/>
          </xdr:cNvSpPr>
        </xdr:nvSpPr>
        <xdr:spPr bwMode="auto">
          <a:xfrm flipV="1">
            <a:off x="2766391" y="0"/>
            <a:ext cx="2327342" cy="2136913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A91A6D7B-99AD-4F45-A3AC-AA4C5DDE7688}"/>
              </a:ext>
            </a:extLst>
          </xdr:cNvPr>
          <xdr:cNvSpPr>
            <a:spLocks noChangeShapeType="1"/>
          </xdr:cNvSpPr>
        </xdr:nvSpPr>
        <xdr:spPr bwMode="auto">
          <a:xfrm flipV="1">
            <a:off x="3291157" y="52294"/>
            <a:ext cx="2311080" cy="2084619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B4343598-3025-4F54-9D8A-495ACDA308A1}"/>
              </a:ext>
            </a:extLst>
          </xdr:cNvPr>
          <xdr:cNvSpPr>
            <a:spLocks noChangeShapeType="1"/>
          </xdr:cNvSpPr>
        </xdr:nvSpPr>
        <xdr:spPr bwMode="auto">
          <a:xfrm flipV="1">
            <a:off x="4308290" y="446612"/>
            <a:ext cx="1844889" cy="1675232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5465F1ED-900E-43DA-B899-01AB648C1CE0}"/>
              </a:ext>
            </a:extLst>
          </xdr:cNvPr>
          <xdr:cNvSpPr>
            <a:spLocks noChangeShapeType="1"/>
          </xdr:cNvSpPr>
        </xdr:nvSpPr>
        <xdr:spPr bwMode="auto">
          <a:xfrm flipV="1">
            <a:off x="3803988" y="201705"/>
            <a:ext cx="2033413" cy="1920137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17F7CE74-A239-4486-9C7F-80E5D4518C32}"/>
              </a:ext>
            </a:extLst>
          </xdr:cNvPr>
          <xdr:cNvSpPr>
            <a:spLocks noChangeShapeType="1"/>
          </xdr:cNvSpPr>
        </xdr:nvSpPr>
        <xdr:spPr bwMode="auto">
          <a:xfrm flipV="1">
            <a:off x="4830618" y="654164"/>
            <a:ext cx="1614723" cy="1467677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451652A3-22EB-42F4-910E-F1B4C4D11575}"/>
              </a:ext>
            </a:extLst>
          </xdr:cNvPr>
          <xdr:cNvSpPr>
            <a:spLocks noChangeShapeType="1"/>
          </xdr:cNvSpPr>
        </xdr:nvSpPr>
        <xdr:spPr bwMode="auto">
          <a:xfrm flipV="1">
            <a:off x="5343936" y="857968"/>
            <a:ext cx="1375696" cy="1263875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A6F6A86E-C053-452F-83DF-3100198BA618}"/>
              </a:ext>
            </a:extLst>
          </xdr:cNvPr>
          <xdr:cNvSpPr>
            <a:spLocks noChangeShapeType="1"/>
          </xdr:cNvSpPr>
        </xdr:nvSpPr>
        <xdr:spPr bwMode="auto">
          <a:xfrm flipV="1">
            <a:off x="5857251" y="1076739"/>
            <a:ext cx="1144995" cy="1045104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0DC02EDC-9C1F-4D3D-A6D3-9CB748DC25ED}"/>
              </a:ext>
            </a:extLst>
          </xdr:cNvPr>
          <xdr:cNvSpPr>
            <a:spLocks noChangeShapeType="1"/>
          </xdr:cNvSpPr>
        </xdr:nvSpPr>
        <xdr:spPr bwMode="auto">
          <a:xfrm flipV="1">
            <a:off x="6370569" y="1291762"/>
            <a:ext cx="905988" cy="830081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256FFCA4-E7AB-4CDA-A559-AA6A90A2859D}"/>
              </a:ext>
            </a:extLst>
          </xdr:cNvPr>
          <xdr:cNvSpPr>
            <a:spLocks noChangeShapeType="1"/>
          </xdr:cNvSpPr>
        </xdr:nvSpPr>
        <xdr:spPr bwMode="auto">
          <a:xfrm flipV="1">
            <a:off x="6883885" y="1495344"/>
            <a:ext cx="698437" cy="626499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20">
            <a:extLst>
              <a:ext uri="{FF2B5EF4-FFF2-40B4-BE49-F238E27FC236}">
                <a16:creationId xmlns:a16="http://schemas.microsoft.com/office/drawing/2014/main" id="{E02AA2B6-263F-4741-8CFB-219DF9557614}"/>
              </a:ext>
            </a:extLst>
          </xdr:cNvPr>
          <xdr:cNvSpPr>
            <a:spLocks noChangeShapeType="1"/>
          </xdr:cNvSpPr>
        </xdr:nvSpPr>
        <xdr:spPr bwMode="auto">
          <a:xfrm flipV="1">
            <a:off x="7397406" y="1714337"/>
            <a:ext cx="457570" cy="407507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0">
            <a:extLst>
              <a:ext uri="{FF2B5EF4-FFF2-40B4-BE49-F238E27FC236}">
                <a16:creationId xmlns:a16="http://schemas.microsoft.com/office/drawing/2014/main" id="{72522A0C-0B91-4DA2-A12E-3DDBF013D697}"/>
              </a:ext>
            </a:extLst>
          </xdr:cNvPr>
          <xdr:cNvSpPr>
            <a:spLocks noChangeShapeType="1"/>
          </xdr:cNvSpPr>
        </xdr:nvSpPr>
        <xdr:spPr bwMode="auto">
          <a:xfrm flipV="1">
            <a:off x="7903458" y="1914418"/>
            <a:ext cx="236295" cy="207423"/>
          </a:xfrm>
          <a:prstGeom prst="line">
            <a:avLst/>
          </a:prstGeom>
          <a:noFill/>
          <a:ln w="9525">
            <a:solidFill>
              <a:schemeClr val="bg1">
                <a:lumMod val="50000"/>
              </a:schemeClr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77304</xdr:colOff>
      <xdr:row>2</xdr:row>
      <xdr:rowOff>187740</xdr:rowOff>
    </xdr:from>
    <xdr:to>
      <xdr:col>2</xdr:col>
      <xdr:colOff>331304</xdr:colOff>
      <xdr:row>3</xdr:row>
      <xdr:rowOff>182217</xdr:rowOff>
    </xdr:to>
    <xdr:sp macro="" textlink="">
      <xdr:nvSpPr>
        <xdr:cNvPr id="52" name="CasellaDiTesto 51">
          <a:extLst>
            <a:ext uri="{FF2B5EF4-FFF2-40B4-BE49-F238E27FC236}">
              <a16:creationId xmlns:a16="http://schemas.microsoft.com/office/drawing/2014/main" id="{BFBEFC9F-5B76-47FB-85F6-9CEF01D362D4}"/>
            </a:ext>
          </a:extLst>
        </xdr:cNvPr>
        <xdr:cNvSpPr txBox="1"/>
      </xdr:nvSpPr>
      <xdr:spPr>
        <a:xfrm>
          <a:off x="1965739" y="662610"/>
          <a:ext cx="254000" cy="231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600">
              <a:solidFill>
                <a:srgbClr val="0070C0"/>
              </a:solidFill>
            </a:rPr>
            <a:t>-</a:t>
          </a:r>
        </a:p>
      </xdr:txBody>
    </xdr:sp>
    <xdr:clientData/>
  </xdr:twoCellAnchor>
  <xdr:twoCellAnchor>
    <xdr:from>
      <xdr:col>2</xdr:col>
      <xdr:colOff>55218</xdr:colOff>
      <xdr:row>0</xdr:row>
      <xdr:rowOff>182218</xdr:rowOff>
    </xdr:from>
    <xdr:to>
      <xdr:col>2</xdr:col>
      <xdr:colOff>325782</xdr:colOff>
      <xdr:row>1</xdr:row>
      <xdr:rowOff>187739</xdr:rowOff>
    </xdr:to>
    <xdr:sp macro="" textlink="">
      <xdr:nvSpPr>
        <xdr:cNvPr id="53" name="CasellaDiTesto 52">
          <a:extLst>
            <a:ext uri="{FF2B5EF4-FFF2-40B4-BE49-F238E27FC236}">
              <a16:creationId xmlns:a16="http://schemas.microsoft.com/office/drawing/2014/main" id="{3E92BBA7-BCD5-4DC6-BAE7-03C8BEF867C9}"/>
            </a:ext>
          </a:extLst>
        </xdr:cNvPr>
        <xdr:cNvSpPr txBox="1"/>
      </xdr:nvSpPr>
      <xdr:spPr>
        <a:xfrm>
          <a:off x="1943653" y="419653"/>
          <a:ext cx="270564" cy="2429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600">
              <a:solidFill>
                <a:srgbClr val="0070C0"/>
              </a:solidFill>
            </a:rPr>
            <a:t>+</a:t>
          </a:r>
        </a:p>
      </xdr:txBody>
    </xdr:sp>
    <xdr:clientData/>
  </xdr:twoCellAnchor>
  <xdr:twoCellAnchor>
    <xdr:from>
      <xdr:col>6</xdr:col>
      <xdr:colOff>136801</xdr:colOff>
      <xdr:row>4</xdr:row>
      <xdr:rowOff>186086</xdr:rowOff>
    </xdr:from>
    <xdr:to>
      <xdr:col>6</xdr:col>
      <xdr:colOff>446293</xdr:colOff>
      <xdr:row>5</xdr:row>
      <xdr:rowOff>191607</xdr:rowOff>
    </xdr:to>
    <xdr:sp macro="" textlink="">
      <xdr:nvSpPr>
        <xdr:cNvPr id="54" name="CasellaDiTesto 53">
          <a:extLst>
            <a:ext uri="{FF2B5EF4-FFF2-40B4-BE49-F238E27FC236}">
              <a16:creationId xmlns:a16="http://schemas.microsoft.com/office/drawing/2014/main" id="{6932CC9F-49BF-406C-9210-5B8427FEE1F0}"/>
            </a:ext>
            <a:ext uri="{147F2762-F138-4A5C-976F-8EAC2B608ADB}">
              <a16:predDERef xmlns:a16="http://schemas.microsoft.com/office/drawing/2014/main" pred="{3E92BBA7-BCD5-4DC6-BAE7-03C8BEF867C9}"/>
            </a:ext>
          </a:extLst>
        </xdr:cNvPr>
        <xdr:cNvSpPr txBox="1"/>
      </xdr:nvSpPr>
      <xdr:spPr>
        <a:xfrm>
          <a:off x="3880126" y="1129061"/>
          <a:ext cx="309492" cy="24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600">
              <a:solidFill>
                <a:srgbClr val="0070C0"/>
              </a:solidFill>
            </a:rPr>
            <a:t>+</a:t>
          </a:r>
        </a:p>
      </xdr:txBody>
    </xdr:sp>
    <xdr:clientData/>
  </xdr:twoCellAnchor>
  <xdr:twoCellAnchor>
    <xdr:from>
      <xdr:col>14</xdr:col>
      <xdr:colOff>430695</xdr:colOff>
      <xdr:row>2</xdr:row>
      <xdr:rowOff>217697</xdr:rowOff>
    </xdr:from>
    <xdr:to>
      <xdr:col>15</xdr:col>
      <xdr:colOff>148809</xdr:colOff>
      <xdr:row>3</xdr:row>
      <xdr:rowOff>223219</xdr:rowOff>
    </xdr:to>
    <xdr:sp macro="" textlink="">
      <xdr:nvSpPr>
        <xdr:cNvPr id="55" name="CasellaDiTesto 54">
          <a:extLst>
            <a:ext uri="{FF2B5EF4-FFF2-40B4-BE49-F238E27FC236}">
              <a16:creationId xmlns:a16="http://schemas.microsoft.com/office/drawing/2014/main" id="{95B1BED9-3CCD-4B1C-824E-6A0F0E564C7B}"/>
            </a:ext>
            <a:ext uri="{147F2762-F138-4A5C-976F-8EAC2B608ADB}">
              <a16:predDERef xmlns:a16="http://schemas.microsoft.com/office/drawing/2014/main" pred="{6932CC9F-49BF-406C-9210-5B8427FEE1F0}"/>
            </a:ext>
          </a:extLst>
        </xdr:cNvPr>
        <xdr:cNvSpPr txBox="1"/>
      </xdr:nvSpPr>
      <xdr:spPr>
        <a:xfrm>
          <a:off x="8593620" y="684422"/>
          <a:ext cx="270564" cy="2436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it-IT" sz="1600">
            <a:solidFill>
              <a:srgbClr val="0070C0"/>
            </a:solidFill>
          </a:endParaRPr>
        </a:p>
      </xdr:txBody>
    </xdr:sp>
    <xdr:clientData/>
  </xdr:twoCellAnchor>
  <xdr:twoCellAnchor>
    <xdr:from>
      <xdr:col>5</xdr:col>
      <xdr:colOff>162753</xdr:colOff>
      <xdr:row>6</xdr:row>
      <xdr:rowOff>140117</xdr:rowOff>
    </xdr:from>
    <xdr:to>
      <xdr:col>5</xdr:col>
      <xdr:colOff>472245</xdr:colOff>
      <xdr:row>7</xdr:row>
      <xdr:rowOff>145638</xdr:rowOff>
    </xdr:to>
    <xdr:sp macro="" textlink="">
      <xdr:nvSpPr>
        <xdr:cNvPr id="57" name="CasellaDiTesto 56">
          <a:extLst>
            <a:ext uri="{FF2B5EF4-FFF2-40B4-BE49-F238E27FC236}">
              <a16:creationId xmlns:a16="http://schemas.microsoft.com/office/drawing/2014/main" id="{E1E2C89E-8697-4FBD-8D85-44D4D4ABA265}"/>
            </a:ext>
            <a:ext uri="{147F2762-F138-4A5C-976F-8EAC2B608ADB}">
              <a16:predDERef xmlns:a16="http://schemas.microsoft.com/office/drawing/2014/main" pred="{45AE09E8-115B-4B53-A3CE-859DC4828F0B}"/>
            </a:ext>
          </a:extLst>
        </xdr:cNvPr>
        <xdr:cNvSpPr txBox="1"/>
      </xdr:nvSpPr>
      <xdr:spPr>
        <a:xfrm>
          <a:off x="3353628" y="1559342"/>
          <a:ext cx="309492" cy="24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600">
              <a:solidFill>
                <a:srgbClr val="0070C0"/>
              </a:solidFill>
            </a:rPr>
            <a:t>-</a:t>
          </a:r>
        </a:p>
      </xdr:txBody>
    </xdr:sp>
    <xdr:clientData/>
  </xdr:twoCellAnchor>
  <xdr:twoCellAnchor>
    <xdr:from>
      <xdr:col>8</xdr:col>
      <xdr:colOff>142875</xdr:colOff>
      <xdr:row>1</xdr:row>
      <xdr:rowOff>47625</xdr:rowOff>
    </xdr:from>
    <xdr:to>
      <xdr:col>8</xdr:col>
      <xdr:colOff>452367</xdr:colOff>
      <xdr:row>2</xdr:row>
      <xdr:rowOff>53146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F39B1EA7-EBC2-4201-B5DE-FC808EFAB3AD}"/>
            </a:ext>
            <a:ext uri="{147F2762-F138-4A5C-976F-8EAC2B608ADB}">
              <a16:predDERef xmlns:a16="http://schemas.microsoft.com/office/drawing/2014/main" pred="{CCDEEECF-D17D-41CC-8880-A989B8E3207B}"/>
            </a:ext>
          </a:extLst>
        </xdr:cNvPr>
        <xdr:cNvSpPr txBox="1"/>
      </xdr:nvSpPr>
      <xdr:spPr>
        <a:xfrm>
          <a:off x="4991100" y="276225"/>
          <a:ext cx="309492" cy="24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it-IT" sz="1600">
              <a:solidFill>
                <a:srgbClr val="0070C0"/>
              </a:solidFill>
            </a:rPr>
            <a:t>-</a:t>
          </a:r>
        </a:p>
      </xdr:txBody>
    </xdr:sp>
    <xdr:clientData/>
  </xdr:twoCellAnchor>
  <xdr:twoCellAnchor>
    <xdr:from>
      <xdr:col>7</xdr:col>
      <xdr:colOff>190500</xdr:colOff>
      <xdr:row>4</xdr:row>
      <xdr:rowOff>171450</xdr:rowOff>
    </xdr:from>
    <xdr:to>
      <xdr:col>7</xdr:col>
      <xdr:colOff>499992</xdr:colOff>
      <xdr:row>5</xdr:row>
      <xdr:rowOff>176971</xdr:rowOff>
    </xdr:to>
    <xdr:sp macro="" textlink="">
      <xdr:nvSpPr>
        <xdr:cNvPr id="12" name="CasellaDiTesto 11">
          <a:extLst>
            <a:ext uri="{FF2B5EF4-FFF2-40B4-BE49-F238E27FC236}">
              <a16:creationId xmlns:a16="http://schemas.microsoft.com/office/drawing/2014/main" id="{E2FB6FCA-557A-49D7-BDEF-3614B55B8895}"/>
            </a:ext>
            <a:ext uri="{147F2762-F138-4A5C-976F-8EAC2B608ADB}">
              <a16:predDERef xmlns:a16="http://schemas.microsoft.com/office/drawing/2014/main" pred="{F39B1EA7-EBC2-4201-B5DE-FC808EFAB3AD}"/>
            </a:ext>
          </a:extLst>
        </xdr:cNvPr>
        <xdr:cNvSpPr txBox="1"/>
      </xdr:nvSpPr>
      <xdr:spPr>
        <a:xfrm>
          <a:off x="4486275" y="1114425"/>
          <a:ext cx="309492" cy="24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it-IT" sz="1600">
              <a:solidFill>
                <a:srgbClr val="0070C0"/>
              </a:solidFill>
            </a:rPr>
            <a:t>-</a:t>
          </a:r>
        </a:p>
      </xdr:txBody>
    </xdr:sp>
    <xdr:clientData/>
  </xdr:twoCellAnchor>
  <xdr:twoCellAnchor>
    <xdr:from>
      <xdr:col>7</xdr:col>
      <xdr:colOff>438150</xdr:colOff>
      <xdr:row>3</xdr:row>
      <xdr:rowOff>219075</xdr:rowOff>
    </xdr:from>
    <xdr:to>
      <xdr:col>8</xdr:col>
      <xdr:colOff>195192</xdr:colOff>
      <xdr:row>4</xdr:row>
      <xdr:rowOff>224596</xdr:rowOff>
    </xdr:to>
    <xdr:sp macro="" textlink="">
      <xdr:nvSpPr>
        <xdr:cNvPr id="22" name="CasellaDiTesto 21">
          <a:extLst>
            <a:ext uri="{FF2B5EF4-FFF2-40B4-BE49-F238E27FC236}">
              <a16:creationId xmlns:a16="http://schemas.microsoft.com/office/drawing/2014/main" id="{6A504672-72C8-4FF0-9257-30CB90EEC195}"/>
            </a:ext>
            <a:ext uri="{147F2762-F138-4A5C-976F-8EAC2B608ADB}">
              <a16:predDERef xmlns:a16="http://schemas.microsoft.com/office/drawing/2014/main" pred="{E2FB6FCA-557A-49D7-BDEF-3614B55B8895}"/>
            </a:ext>
          </a:extLst>
        </xdr:cNvPr>
        <xdr:cNvSpPr txBox="1"/>
      </xdr:nvSpPr>
      <xdr:spPr>
        <a:xfrm>
          <a:off x="4733925" y="923925"/>
          <a:ext cx="309492" cy="24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it-IT" sz="1600">
              <a:solidFill>
                <a:srgbClr val="0070C0"/>
              </a:solidFill>
            </a:rPr>
            <a:t>+</a:t>
          </a:r>
        </a:p>
      </xdr:txBody>
    </xdr:sp>
    <xdr:clientData/>
  </xdr:twoCellAnchor>
  <xdr:twoCellAnchor>
    <xdr:from>
      <xdr:col>9</xdr:col>
      <xdr:colOff>219075</xdr:colOff>
      <xdr:row>2</xdr:row>
      <xdr:rowOff>228600</xdr:rowOff>
    </xdr:from>
    <xdr:to>
      <xdr:col>9</xdr:col>
      <xdr:colOff>528567</xdr:colOff>
      <xdr:row>3</xdr:row>
      <xdr:rowOff>234121</xdr:rowOff>
    </xdr:to>
    <xdr:sp macro="" textlink="">
      <xdr:nvSpPr>
        <xdr:cNvPr id="23" name="CasellaDiTesto 22">
          <a:extLst>
            <a:ext uri="{FF2B5EF4-FFF2-40B4-BE49-F238E27FC236}">
              <a16:creationId xmlns:a16="http://schemas.microsoft.com/office/drawing/2014/main" id="{EF4916A4-57DC-4F13-91BC-EA6BFCE0121B}"/>
            </a:ext>
            <a:ext uri="{147F2762-F138-4A5C-976F-8EAC2B608ADB}">
              <a16:predDERef xmlns:a16="http://schemas.microsoft.com/office/drawing/2014/main" pred="{6A504672-72C8-4FF0-9257-30CB90EEC195}"/>
            </a:ext>
          </a:extLst>
        </xdr:cNvPr>
        <xdr:cNvSpPr txBox="1"/>
      </xdr:nvSpPr>
      <xdr:spPr>
        <a:xfrm>
          <a:off x="5619750" y="695325"/>
          <a:ext cx="309492" cy="24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it-IT" sz="1600">
              <a:solidFill>
                <a:srgbClr val="0070C0"/>
              </a:solidFill>
            </a:rPr>
            <a:t>-</a:t>
          </a:r>
        </a:p>
      </xdr:txBody>
    </xdr:sp>
    <xdr:clientData/>
  </xdr:twoCellAnchor>
  <xdr:twoCellAnchor>
    <xdr:from>
      <xdr:col>9</xdr:col>
      <xdr:colOff>266700</xdr:colOff>
      <xdr:row>4</xdr:row>
      <xdr:rowOff>200025</xdr:rowOff>
    </xdr:from>
    <xdr:to>
      <xdr:col>10</xdr:col>
      <xdr:colOff>23742</xdr:colOff>
      <xdr:row>5</xdr:row>
      <xdr:rowOff>205546</xdr:rowOff>
    </xdr:to>
    <xdr:sp macro="" textlink="">
      <xdr:nvSpPr>
        <xdr:cNvPr id="24" name="CasellaDiTesto 23">
          <a:extLst>
            <a:ext uri="{FF2B5EF4-FFF2-40B4-BE49-F238E27FC236}">
              <a16:creationId xmlns:a16="http://schemas.microsoft.com/office/drawing/2014/main" id="{30F4BC2C-DF24-46FF-9ED7-465B3D3AA93B}"/>
            </a:ext>
            <a:ext uri="{147F2762-F138-4A5C-976F-8EAC2B608ADB}">
              <a16:predDERef xmlns:a16="http://schemas.microsoft.com/office/drawing/2014/main" pred="{EF4916A4-57DC-4F13-91BC-EA6BFCE0121B}"/>
            </a:ext>
          </a:extLst>
        </xdr:cNvPr>
        <xdr:cNvSpPr txBox="1"/>
      </xdr:nvSpPr>
      <xdr:spPr>
        <a:xfrm>
          <a:off x="5667375" y="1143000"/>
          <a:ext cx="309492" cy="24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it-IT" sz="1600">
              <a:solidFill>
                <a:srgbClr val="0070C0"/>
              </a:solidFill>
            </a:rPr>
            <a:t>-</a:t>
          </a:r>
        </a:p>
      </xdr:txBody>
    </xdr:sp>
    <xdr:clientData/>
  </xdr:twoCellAnchor>
  <xdr:twoCellAnchor>
    <xdr:from>
      <xdr:col>10</xdr:col>
      <xdr:colOff>371475</xdr:colOff>
      <xdr:row>4</xdr:row>
      <xdr:rowOff>200025</xdr:rowOff>
    </xdr:from>
    <xdr:to>
      <xdr:col>11</xdr:col>
      <xdr:colOff>128517</xdr:colOff>
      <xdr:row>5</xdr:row>
      <xdr:rowOff>205546</xdr:rowOff>
    </xdr:to>
    <xdr:sp macro="" textlink="">
      <xdr:nvSpPr>
        <xdr:cNvPr id="25" name="CasellaDiTesto 24">
          <a:extLst>
            <a:ext uri="{FF2B5EF4-FFF2-40B4-BE49-F238E27FC236}">
              <a16:creationId xmlns:a16="http://schemas.microsoft.com/office/drawing/2014/main" id="{A56C928F-C477-45FF-B6E9-1C4B86505B3F}"/>
            </a:ext>
            <a:ext uri="{147F2762-F138-4A5C-976F-8EAC2B608ADB}">
              <a16:predDERef xmlns:a16="http://schemas.microsoft.com/office/drawing/2014/main" pred="{30F4BC2C-DF24-46FF-9ED7-465B3D3AA93B}"/>
            </a:ext>
          </a:extLst>
        </xdr:cNvPr>
        <xdr:cNvSpPr txBox="1"/>
      </xdr:nvSpPr>
      <xdr:spPr>
        <a:xfrm>
          <a:off x="6324600" y="1143000"/>
          <a:ext cx="309492" cy="24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it-IT" sz="1600">
              <a:solidFill>
                <a:srgbClr val="0070C0"/>
              </a:solidFill>
            </a:rPr>
            <a:t>-</a:t>
          </a:r>
        </a:p>
      </xdr:txBody>
    </xdr:sp>
    <xdr:clientData/>
  </xdr:twoCellAnchor>
  <xdr:twoCellAnchor>
    <xdr:from>
      <xdr:col>1</xdr:col>
      <xdr:colOff>0</xdr:colOff>
      <xdr:row>114</xdr:row>
      <xdr:rowOff>0</xdr:rowOff>
    </xdr:from>
    <xdr:to>
      <xdr:col>10</xdr:col>
      <xdr:colOff>175968</xdr:colOff>
      <xdr:row>133</xdr:row>
      <xdr:rowOff>125859</xdr:rowOff>
    </xdr:to>
    <xdr:graphicFrame macro="">
      <xdr:nvGraphicFramePr>
        <xdr:cNvPr id="26" name="Chart 26">
          <a:extLst>
            <a:ext uri="{FF2B5EF4-FFF2-40B4-BE49-F238E27FC236}">
              <a16:creationId xmlns:a16="http://schemas.microsoft.com/office/drawing/2014/main" id="{D30F336B-E12D-1A4D-A0D0-408BC25DC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aisano/IMPOST~1/Temp/utility%20tab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1"/>
      <sheetName val="Test2"/>
      <sheetName val="Test3"/>
      <sheetName val="Test4"/>
      <sheetName val="Test5"/>
    </sheetNames>
    <sheetDataSet>
      <sheetData sheetId="0">
        <row r="4">
          <cell r="B4">
            <v>0</v>
          </cell>
          <cell r="D4">
            <v>0</v>
          </cell>
        </row>
        <row r="5">
          <cell r="B5">
            <v>0</v>
          </cell>
          <cell r="D5">
            <v>0</v>
          </cell>
        </row>
        <row r="6">
          <cell r="B6">
            <v>0</v>
          </cell>
          <cell r="D6">
            <v>0</v>
          </cell>
        </row>
        <row r="7">
          <cell r="B7">
            <v>0</v>
          </cell>
          <cell r="D7">
            <v>0</v>
          </cell>
        </row>
        <row r="8">
          <cell r="B8">
            <v>0</v>
          </cell>
          <cell r="D8">
            <v>0</v>
          </cell>
        </row>
        <row r="13">
          <cell r="B13">
            <v>0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0</v>
          </cell>
        </row>
        <row r="19">
          <cell r="B19">
            <v>0</v>
          </cell>
        </row>
        <row r="20">
          <cell r="B20">
            <v>0</v>
          </cell>
        </row>
        <row r="21">
          <cell r="B21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8C28-9548-432D-BD3B-777CB62F5BF2}">
  <dimension ref="A1:DA111"/>
  <sheetViews>
    <sheetView tabSelected="1" topLeftCell="CM79" zoomScale="90" zoomScaleNormal="77" zoomScaleSheetLayoutView="140" workbookViewId="0">
      <selection activeCell="CX80" sqref="CX80"/>
    </sheetView>
  </sheetViews>
  <sheetFormatPr defaultColWidth="8.77734375" defaultRowHeight="12.75" customHeight="1" x14ac:dyDescent="0.25"/>
  <cols>
    <col min="1" max="1" width="4.44140625" style="2" bestFit="1" customWidth="1"/>
    <col min="2" max="2" width="22.44140625" style="2" customWidth="1"/>
    <col min="3" max="3" width="5.109375" style="2" customWidth="1"/>
    <col min="4" max="4" width="7.44140625" style="2" customWidth="1"/>
    <col min="5" max="16" width="8.33203125" style="2" customWidth="1"/>
    <col min="17" max="18" width="7" style="2" bestFit="1" customWidth="1"/>
    <col min="19" max="19" width="6.6640625" style="2" bestFit="1" customWidth="1"/>
    <col min="20" max="21" width="5.6640625" style="2" bestFit="1" customWidth="1"/>
    <col min="22" max="23" width="5.109375" style="2" customWidth="1"/>
    <col min="24" max="24" width="5.6640625" style="2" bestFit="1" customWidth="1"/>
    <col min="25" max="25" width="7.33203125" style="2" bestFit="1" customWidth="1"/>
    <col min="26" max="32" width="5.6640625" style="2" bestFit="1" customWidth="1"/>
    <col min="33" max="37" width="3.44140625" style="2" customWidth="1"/>
    <col min="38" max="38" width="2.77734375" style="2" customWidth="1"/>
    <col min="39" max="39" width="9.109375" style="2" customWidth="1"/>
    <col min="40" max="42" width="5.6640625" style="2" bestFit="1" customWidth="1"/>
    <col min="43" max="44" width="5.33203125" style="2" bestFit="1" customWidth="1"/>
    <col min="45" max="47" width="5.6640625" style="2" bestFit="1" customWidth="1"/>
    <col min="48" max="49" width="5.44140625" style="2" customWidth="1"/>
    <col min="50" max="50" width="2.109375" style="2" customWidth="1"/>
    <col min="51" max="62" width="5.44140625" style="2" customWidth="1"/>
    <col min="63" max="64" width="5.109375" style="2" customWidth="1"/>
    <col min="65" max="71" width="7.109375" style="2" bestFit="1" customWidth="1"/>
    <col min="72" max="72" width="6.44140625" style="2" customWidth="1"/>
    <col min="73" max="73" width="7.109375" style="2" customWidth="1"/>
    <col min="74" max="74" width="6.44140625" style="2" customWidth="1"/>
    <col min="75" max="75" width="7.33203125" style="2" customWidth="1"/>
    <col min="76" max="80" width="8.77734375" style="2"/>
    <col min="81" max="81" width="18" style="2" customWidth="1"/>
    <col min="82" max="82" width="18" style="2" bestFit="1" customWidth="1"/>
    <col min="83" max="83" width="10.6640625" style="2" customWidth="1"/>
    <col min="84" max="84" width="12.77734375" style="2" customWidth="1"/>
    <col min="85" max="86" width="8.77734375" style="2"/>
    <col min="87" max="87" width="12.109375" style="2" bestFit="1" customWidth="1"/>
    <col min="88" max="88" width="17.77734375" style="2" bestFit="1" customWidth="1"/>
    <col min="89" max="89" width="12.109375" style="2" bestFit="1" customWidth="1"/>
    <col min="90" max="102" width="8.77734375" style="2"/>
    <col min="103" max="103" width="16.109375" style="2" customWidth="1"/>
    <col min="104" max="104" width="23" style="2" customWidth="1"/>
    <col min="105" max="105" width="17.77734375" style="2" customWidth="1"/>
    <col min="106" max="252" width="8.77734375" style="2"/>
    <col min="253" max="253" width="4.44140625" style="2" bestFit="1" customWidth="1"/>
    <col min="254" max="254" width="22.44140625" style="2" customWidth="1"/>
    <col min="255" max="255" width="5.109375" style="2" customWidth="1"/>
    <col min="256" max="256" width="6.44140625" style="2" customWidth="1"/>
    <col min="257" max="257" width="8.44140625" style="2" customWidth="1"/>
    <col min="258" max="262" width="6.44140625" style="2" customWidth="1"/>
    <col min="263" max="263" width="9.77734375" style="2" customWidth="1"/>
    <col min="264" max="264" width="8.44140625" style="2" customWidth="1"/>
    <col min="265" max="266" width="9.44140625" style="2" customWidth="1"/>
    <col min="267" max="267" width="8.44140625" style="2" customWidth="1"/>
    <col min="268" max="268" width="2.44140625" style="2" customWidth="1"/>
    <col min="269" max="269" width="4.77734375" style="2" customWidth="1"/>
    <col min="270" max="270" width="6.44140625" style="2" customWidth="1"/>
    <col min="271" max="272" width="4" style="2" customWidth="1"/>
    <col min="273" max="273" width="5.44140625" style="2" bestFit="1" customWidth="1"/>
    <col min="274" max="274" width="4" style="2" customWidth="1"/>
    <col min="275" max="275" width="4.77734375" style="2" bestFit="1" customWidth="1"/>
    <col min="276" max="276" width="6.77734375" style="2" customWidth="1"/>
    <col min="277" max="277" width="8.77734375" style="2"/>
    <col min="278" max="288" width="3.44140625" style="2" customWidth="1"/>
    <col min="289" max="289" width="5" style="2" customWidth="1"/>
    <col min="290" max="293" width="5.44140625" style="2" bestFit="1" customWidth="1"/>
    <col min="294" max="295" width="5.109375" style="2" bestFit="1" customWidth="1"/>
    <col min="296" max="298" width="5.44140625" style="2" bestFit="1" customWidth="1"/>
    <col min="299" max="301" width="5.44140625" style="2" customWidth="1"/>
    <col min="302" max="302" width="2.109375" style="2" customWidth="1"/>
    <col min="303" max="303" width="3" style="2" bestFit="1" customWidth="1"/>
    <col min="304" max="312" width="5.44140625" style="2" bestFit="1" customWidth="1"/>
    <col min="313" max="314" width="5.44140625" style="2" customWidth="1"/>
    <col min="315" max="315" width="2.77734375" style="2" customWidth="1"/>
    <col min="316" max="325" width="3" style="2" bestFit="1" customWidth="1"/>
    <col min="326" max="326" width="4" style="2" customWidth="1"/>
    <col min="327" max="327" width="4.44140625" style="2" customWidth="1"/>
    <col min="328" max="508" width="8.77734375" style="2"/>
    <col min="509" max="509" width="4.44140625" style="2" bestFit="1" customWidth="1"/>
    <col min="510" max="510" width="22.44140625" style="2" customWidth="1"/>
    <col min="511" max="511" width="5.109375" style="2" customWidth="1"/>
    <col min="512" max="512" width="6.44140625" style="2" customWidth="1"/>
    <col min="513" max="513" width="8.44140625" style="2" customWidth="1"/>
    <col min="514" max="518" width="6.44140625" style="2" customWidth="1"/>
    <col min="519" max="519" width="9.77734375" style="2" customWidth="1"/>
    <col min="520" max="520" width="8.44140625" style="2" customWidth="1"/>
    <col min="521" max="522" width="9.44140625" style="2" customWidth="1"/>
    <col min="523" max="523" width="8.44140625" style="2" customWidth="1"/>
    <col min="524" max="524" width="2.44140625" style="2" customWidth="1"/>
    <col min="525" max="525" width="4.77734375" style="2" customWidth="1"/>
    <col min="526" max="526" width="6.44140625" style="2" customWidth="1"/>
    <col min="527" max="528" width="4" style="2" customWidth="1"/>
    <col min="529" max="529" width="5.44140625" style="2" bestFit="1" customWidth="1"/>
    <col min="530" max="530" width="4" style="2" customWidth="1"/>
    <col min="531" max="531" width="4.77734375" style="2" bestFit="1" customWidth="1"/>
    <col min="532" max="532" width="6.77734375" style="2" customWidth="1"/>
    <col min="533" max="533" width="8.77734375" style="2"/>
    <col min="534" max="544" width="3.44140625" style="2" customWidth="1"/>
    <col min="545" max="545" width="5" style="2" customWidth="1"/>
    <col min="546" max="549" width="5.44140625" style="2" bestFit="1" customWidth="1"/>
    <col min="550" max="551" width="5.109375" style="2" bestFit="1" customWidth="1"/>
    <col min="552" max="554" width="5.44140625" style="2" bestFit="1" customWidth="1"/>
    <col min="555" max="557" width="5.44140625" style="2" customWidth="1"/>
    <col min="558" max="558" width="2.109375" style="2" customWidth="1"/>
    <col min="559" max="559" width="3" style="2" bestFit="1" customWidth="1"/>
    <col min="560" max="568" width="5.44140625" style="2" bestFit="1" customWidth="1"/>
    <col min="569" max="570" width="5.44140625" style="2" customWidth="1"/>
    <col min="571" max="571" width="2.77734375" style="2" customWidth="1"/>
    <col min="572" max="581" width="3" style="2" bestFit="1" customWidth="1"/>
    <col min="582" max="582" width="4" style="2" customWidth="1"/>
    <col min="583" max="583" width="4.44140625" style="2" customWidth="1"/>
    <col min="584" max="764" width="8.77734375" style="2"/>
    <col min="765" max="765" width="4.44140625" style="2" bestFit="1" customWidth="1"/>
    <col min="766" max="766" width="22.44140625" style="2" customWidth="1"/>
    <col min="767" max="767" width="5.109375" style="2" customWidth="1"/>
    <col min="768" max="768" width="6.44140625" style="2" customWidth="1"/>
    <col min="769" max="769" width="8.44140625" style="2" customWidth="1"/>
    <col min="770" max="774" width="6.44140625" style="2" customWidth="1"/>
    <col min="775" max="775" width="9.77734375" style="2" customWidth="1"/>
    <col min="776" max="776" width="8.44140625" style="2" customWidth="1"/>
    <col min="777" max="778" width="9.44140625" style="2" customWidth="1"/>
    <col min="779" max="779" width="8.44140625" style="2" customWidth="1"/>
    <col min="780" max="780" width="2.44140625" style="2" customWidth="1"/>
    <col min="781" max="781" width="4.77734375" style="2" customWidth="1"/>
    <col min="782" max="782" width="6.44140625" style="2" customWidth="1"/>
    <col min="783" max="784" width="4" style="2" customWidth="1"/>
    <col min="785" max="785" width="5.44140625" style="2" bestFit="1" customWidth="1"/>
    <col min="786" max="786" width="4" style="2" customWidth="1"/>
    <col min="787" max="787" width="4.77734375" style="2" bestFit="1" customWidth="1"/>
    <col min="788" max="788" width="6.77734375" style="2" customWidth="1"/>
    <col min="789" max="789" width="8.77734375" style="2"/>
    <col min="790" max="800" width="3.44140625" style="2" customWidth="1"/>
    <col min="801" max="801" width="5" style="2" customWidth="1"/>
    <col min="802" max="805" width="5.44140625" style="2" bestFit="1" customWidth="1"/>
    <col min="806" max="807" width="5.109375" style="2" bestFit="1" customWidth="1"/>
    <col min="808" max="810" width="5.44140625" style="2" bestFit="1" customWidth="1"/>
    <col min="811" max="813" width="5.44140625" style="2" customWidth="1"/>
    <col min="814" max="814" width="2.109375" style="2" customWidth="1"/>
    <col min="815" max="815" width="3" style="2" bestFit="1" customWidth="1"/>
    <col min="816" max="824" width="5.44140625" style="2" bestFit="1" customWidth="1"/>
    <col min="825" max="826" width="5.44140625" style="2" customWidth="1"/>
    <col min="827" max="827" width="2.77734375" style="2" customWidth="1"/>
    <col min="828" max="837" width="3" style="2" bestFit="1" customWidth="1"/>
    <col min="838" max="838" width="4" style="2" customWidth="1"/>
    <col min="839" max="839" width="4.44140625" style="2" customWidth="1"/>
    <col min="840" max="1020" width="8.77734375" style="2"/>
    <col min="1021" max="1021" width="4.44140625" style="2" bestFit="1" customWidth="1"/>
    <col min="1022" max="1022" width="22.44140625" style="2" customWidth="1"/>
    <col min="1023" max="1023" width="5.109375" style="2" customWidth="1"/>
    <col min="1024" max="1024" width="6.44140625" style="2" customWidth="1"/>
    <col min="1025" max="1025" width="8.44140625" style="2" customWidth="1"/>
    <col min="1026" max="1030" width="6.44140625" style="2" customWidth="1"/>
    <col min="1031" max="1031" width="9.77734375" style="2" customWidth="1"/>
    <col min="1032" max="1032" width="8.44140625" style="2" customWidth="1"/>
    <col min="1033" max="1034" width="9.44140625" style="2" customWidth="1"/>
    <col min="1035" max="1035" width="8.44140625" style="2" customWidth="1"/>
    <col min="1036" max="1036" width="2.44140625" style="2" customWidth="1"/>
    <col min="1037" max="1037" width="4.77734375" style="2" customWidth="1"/>
    <col min="1038" max="1038" width="6.44140625" style="2" customWidth="1"/>
    <col min="1039" max="1040" width="4" style="2" customWidth="1"/>
    <col min="1041" max="1041" width="5.44140625" style="2" bestFit="1" customWidth="1"/>
    <col min="1042" max="1042" width="4" style="2" customWidth="1"/>
    <col min="1043" max="1043" width="4.77734375" style="2" bestFit="1" customWidth="1"/>
    <col min="1044" max="1044" width="6.77734375" style="2" customWidth="1"/>
    <col min="1045" max="1045" width="8.77734375" style="2"/>
    <col min="1046" max="1056" width="3.44140625" style="2" customWidth="1"/>
    <col min="1057" max="1057" width="5" style="2" customWidth="1"/>
    <col min="1058" max="1061" width="5.44140625" style="2" bestFit="1" customWidth="1"/>
    <col min="1062" max="1063" width="5.109375" style="2" bestFit="1" customWidth="1"/>
    <col min="1064" max="1066" width="5.44140625" style="2" bestFit="1" customWidth="1"/>
    <col min="1067" max="1069" width="5.44140625" style="2" customWidth="1"/>
    <col min="1070" max="1070" width="2.109375" style="2" customWidth="1"/>
    <col min="1071" max="1071" width="3" style="2" bestFit="1" customWidth="1"/>
    <col min="1072" max="1080" width="5.44140625" style="2" bestFit="1" customWidth="1"/>
    <col min="1081" max="1082" width="5.44140625" style="2" customWidth="1"/>
    <col min="1083" max="1083" width="2.77734375" style="2" customWidth="1"/>
    <col min="1084" max="1093" width="3" style="2" bestFit="1" customWidth="1"/>
    <col min="1094" max="1094" width="4" style="2" customWidth="1"/>
    <col min="1095" max="1095" width="4.44140625" style="2" customWidth="1"/>
    <col min="1096" max="1276" width="8.77734375" style="2"/>
    <col min="1277" max="1277" width="4.44140625" style="2" bestFit="1" customWidth="1"/>
    <col min="1278" max="1278" width="22.44140625" style="2" customWidth="1"/>
    <col min="1279" max="1279" width="5.109375" style="2" customWidth="1"/>
    <col min="1280" max="1280" width="6.44140625" style="2" customWidth="1"/>
    <col min="1281" max="1281" width="8.44140625" style="2" customWidth="1"/>
    <col min="1282" max="1286" width="6.44140625" style="2" customWidth="1"/>
    <col min="1287" max="1287" width="9.77734375" style="2" customWidth="1"/>
    <col min="1288" max="1288" width="8.44140625" style="2" customWidth="1"/>
    <col min="1289" max="1290" width="9.44140625" style="2" customWidth="1"/>
    <col min="1291" max="1291" width="8.44140625" style="2" customWidth="1"/>
    <col min="1292" max="1292" width="2.44140625" style="2" customWidth="1"/>
    <col min="1293" max="1293" width="4.77734375" style="2" customWidth="1"/>
    <col min="1294" max="1294" width="6.44140625" style="2" customWidth="1"/>
    <col min="1295" max="1296" width="4" style="2" customWidth="1"/>
    <col min="1297" max="1297" width="5.44140625" style="2" bestFit="1" customWidth="1"/>
    <col min="1298" max="1298" width="4" style="2" customWidth="1"/>
    <col min="1299" max="1299" width="4.77734375" style="2" bestFit="1" customWidth="1"/>
    <col min="1300" max="1300" width="6.77734375" style="2" customWidth="1"/>
    <col min="1301" max="1301" width="8.77734375" style="2"/>
    <col min="1302" max="1312" width="3.44140625" style="2" customWidth="1"/>
    <col min="1313" max="1313" width="5" style="2" customWidth="1"/>
    <col min="1314" max="1317" width="5.44140625" style="2" bestFit="1" customWidth="1"/>
    <col min="1318" max="1319" width="5.109375" style="2" bestFit="1" customWidth="1"/>
    <col min="1320" max="1322" width="5.44140625" style="2" bestFit="1" customWidth="1"/>
    <col min="1323" max="1325" width="5.44140625" style="2" customWidth="1"/>
    <col min="1326" max="1326" width="2.109375" style="2" customWidth="1"/>
    <col min="1327" max="1327" width="3" style="2" bestFit="1" customWidth="1"/>
    <col min="1328" max="1336" width="5.44140625" style="2" bestFit="1" customWidth="1"/>
    <col min="1337" max="1338" width="5.44140625" style="2" customWidth="1"/>
    <col min="1339" max="1339" width="2.77734375" style="2" customWidth="1"/>
    <col min="1340" max="1349" width="3" style="2" bestFit="1" customWidth="1"/>
    <col min="1350" max="1350" width="4" style="2" customWidth="1"/>
    <col min="1351" max="1351" width="4.44140625" style="2" customWidth="1"/>
    <col min="1352" max="1532" width="8.77734375" style="2"/>
    <col min="1533" max="1533" width="4.44140625" style="2" bestFit="1" customWidth="1"/>
    <col min="1534" max="1534" width="22.44140625" style="2" customWidth="1"/>
    <col min="1535" max="1535" width="5.109375" style="2" customWidth="1"/>
    <col min="1536" max="1536" width="6.44140625" style="2" customWidth="1"/>
    <col min="1537" max="1537" width="8.44140625" style="2" customWidth="1"/>
    <col min="1538" max="1542" width="6.44140625" style="2" customWidth="1"/>
    <col min="1543" max="1543" width="9.77734375" style="2" customWidth="1"/>
    <col min="1544" max="1544" width="8.44140625" style="2" customWidth="1"/>
    <col min="1545" max="1546" width="9.44140625" style="2" customWidth="1"/>
    <col min="1547" max="1547" width="8.44140625" style="2" customWidth="1"/>
    <col min="1548" max="1548" width="2.44140625" style="2" customWidth="1"/>
    <col min="1549" max="1549" width="4.77734375" style="2" customWidth="1"/>
    <col min="1550" max="1550" width="6.44140625" style="2" customWidth="1"/>
    <col min="1551" max="1552" width="4" style="2" customWidth="1"/>
    <col min="1553" max="1553" width="5.44140625" style="2" bestFit="1" customWidth="1"/>
    <col min="1554" max="1554" width="4" style="2" customWidth="1"/>
    <col min="1555" max="1555" width="4.77734375" style="2" bestFit="1" customWidth="1"/>
    <col min="1556" max="1556" width="6.77734375" style="2" customWidth="1"/>
    <col min="1557" max="1557" width="8.77734375" style="2"/>
    <col min="1558" max="1568" width="3.44140625" style="2" customWidth="1"/>
    <col min="1569" max="1569" width="5" style="2" customWidth="1"/>
    <col min="1570" max="1573" width="5.44140625" style="2" bestFit="1" customWidth="1"/>
    <col min="1574" max="1575" width="5.109375" style="2" bestFit="1" customWidth="1"/>
    <col min="1576" max="1578" width="5.44140625" style="2" bestFit="1" customWidth="1"/>
    <col min="1579" max="1581" width="5.44140625" style="2" customWidth="1"/>
    <col min="1582" max="1582" width="2.109375" style="2" customWidth="1"/>
    <col min="1583" max="1583" width="3" style="2" bestFit="1" customWidth="1"/>
    <col min="1584" max="1592" width="5.44140625" style="2" bestFit="1" customWidth="1"/>
    <col min="1593" max="1594" width="5.44140625" style="2" customWidth="1"/>
    <col min="1595" max="1595" width="2.77734375" style="2" customWidth="1"/>
    <col min="1596" max="1605" width="3" style="2" bestFit="1" customWidth="1"/>
    <col min="1606" max="1606" width="4" style="2" customWidth="1"/>
    <col min="1607" max="1607" width="4.44140625" style="2" customWidth="1"/>
    <col min="1608" max="1788" width="8.77734375" style="2"/>
    <col min="1789" max="1789" width="4.44140625" style="2" bestFit="1" customWidth="1"/>
    <col min="1790" max="1790" width="22.44140625" style="2" customWidth="1"/>
    <col min="1791" max="1791" width="5.109375" style="2" customWidth="1"/>
    <col min="1792" max="1792" width="6.44140625" style="2" customWidth="1"/>
    <col min="1793" max="1793" width="8.44140625" style="2" customWidth="1"/>
    <col min="1794" max="1798" width="6.44140625" style="2" customWidth="1"/>
    <col min="1799" max="1799" width="9.77734375" style="2" customWidth="1"/>
    <col min="1800" max="1800" width="8.44140625" style="2" customWidth="1"/>
    <col min="1801" max="1802" width="9.44140625" style="2" customWidth="1"/>
    <col min="1803" max="1803" width="8.44140625" style="2" customWidth="1"/>
    <col min="1804" max="1804" width="2.44140625" style="2" customWidth="1"/>
    <col min="1805" max="1805" width="4.77734375" style="2" customWidth="1"/>
    <col min="1806" max="1806" width="6.44140625" style="2" customWidth="1"/>
    <col min="1807" max="1808" width="4" style="2" customWidth="1"/>
    <col min="1809" max="1809" width="5.44140625" style="2" bestFit="1" customWidth="1"/>
    <col min="1810" max="1810" width="4" style="2" customWidth="1"/>
    <col min="1811" max="1811" width="4.77734375" style="2" bestFit="1" customWidth="1"/>
    <col min="1812" max="1812" width="6.77734375" style="2" customWidth="1"/>
    <col min="1813" max="1813" width="8.77734375" style="2"/>
    <col min="1814" max="1824" width="3.44140625" style="2" customWidth="1"/>
    <col min="1825" max="1825" width="5" style="2" customWidth="1"/>
    <col min="1826" max="1829" width="5.44140625" style="2" bestFit="1" customWidth="1"/>
    <col min="1830" max="1831" width="5.109375" style="2" bestFit="1" customWidth="1"/>
    <col min="1832" max="1834" width="5.44140625" style="2" bestFit="1" customWidth="1"/>
    <col min="1835" max="1837" width="5.44140625" style="2" customWidth="1"/>
    <col min="1838" max="1838" width="2.109375" style="2" customWidth="1"/>
    <col min="1839" max="1839" width="3" style="2" bestFit="1" customWidth="1"/>
    <col min="1840" max="1848" width="5.44140625" style="2" bestFit="1" customWidth="1"/>
    <col min="1849" max="1850" width="5.44140625" style="2" customWidth="1"/>
    <col min="1851" max="1851" width="2.77734375" style="2" customWidth="1"/>
    <col min="1852" max="1861" width="3" style="2" bestFit="1" customWidth="1"/>
    <col min="1862" max="1862" width="4" style="2" customWidth="1"/>
    <col min="1863" max="1863" width="4.44140625" style="2" customWidth="1"/>
    <col min="1864" max="2044" width="8.77734375" style="2"/>
    <col min="2045" max="2045" width="4.44140625" style="2" bestFit="1" customWidth="1"/>
    <col min="2046" max="2046" width="22.44140625" style="2" customWidth="1"/>
    <col min="2047" max="2047" width="5.109375" style="2" customWidth="1"/>
    <col min="2048" max="2048" width="6.44140625" style="2" customWidth="1"/>
    <col min="2049" max="2049" width="8.44140625" style="2" customWidth="1"/>
    <col min="2050" max="2054" width="6.44140625" style="2" customWidth="1"/>
    <col min="2055" max="2055" width="9.77734375" style="2" customWidth="1"/>
    <col min="2056" max="2056" width="8.44140625" style="2" customWidth="1"/>
    <col min="2057" max="2058" width="9.44140625" style="2" customWidth="1"/>
    <col min="2059" max="2059" width="8.44140625" style="2" customWidth="1"/>
    <col min="2060" max="2060" width="2.44140625" style="2" customWidth="1"/>
    <col min="2061" max="2061" width="4.77734375" style="2" customWidth="1"/>
    <col min="2062" max="2062" width="6.44140625" style="2" customWidth="1"/>
    <col min="2063" max="2064" width="4" style="2" customWidth="1"/>
    <col min="2065" max="2065" width="5.44140625" style="2" bestFit="1" customWidth="1"/>
    <col min="2066" max="2066" width="4" style="2" customWidth="1"/>
    <col min="2067" max="2067" width="4.77734375" style="2" bestFit="1" customWidth="1"/>
    <col min="2068" max="2068" width="6.77734375" style="2" customWidth="1"/>
    <col min="2069" max="2069" width="8.77734375" style="2"/>
    <col min="2070" max="2080" width="3.44140625" style="2" customWidth="1"/>
    <col min="2081" max="2081" width="5" style="2" customWidth="1"/>
    <col min="2082" max="2085" width="5.44140625" style="2" bestFit="1" customWidth="1"/>
    <col min="2086" max="2087" width="5.109375" style="2" bestFit="1" customWidth="1"/>
    <col min="2088" max="2090" width="5.44140625" style="2" bestFit="1" customWidth="1"/>
    <col min="2091" max="2093" width="5.44140625" style="2" customWidth="1"/>
    <col min="2094" max="2094" width="2.109375" style="2" customWidth="1"/>
    <col min="2095" max="2095" width="3" style="2" bestFit="1" customWidth="1"/>
    <col min="2096" max="2104" width="5.44140625" style="2" bestFit="1" customWidth="1"/>
    <col min="2105" max="2106" width="5.44140625" style="2" customWidth="1"/>
    <col min="2107" max="2107" width="2.77734375" style="2" customWidth="1"/>
    <col min="2108" max="2117" width="3" style="2" bestFit="1" customWidth="1"/>
    <col min="2118" max="2118" width="4" style="2" customWidth="1"/>
    <col min="2119" max="2119" width="4.44140625" style="2" customWidth="1"/>
    <col min="2120" max="2300" width="8.77734375" style="2"/>
    <col min="2301" max="2301" width="4.44140625" style="2" bestFit="1" customWidth="1"/>
    <col min="2302" max="2302" width="22.44140625" style="2" customWidth="1"/>
    <col min="2303" max="2303" width="5.109375" style="2" customWidth="1"/>
    <col min="2304" max="2304" width="6.44140625" style="2" customWidth="1"/>
    <col min="2305" max="2305" width="8.44140625" style="2" customWidth="1"/>
    <col min="2306" max="2310" width="6.44140625" style="2" customWidth="1"/>
    <col min="2311" max="2311" width="9.77734375" style="2" customWidth="1"/>
    <col min="2312" max="2312" width="8.44140625" style="2" customWidth="1"/>
    <col min="2313" max="2314" width="9.44140625" style="2" customWidth="1"/>
    <col min="2315" max="2315" width="8.44140625" style="2" customWidth="1"/>
    <col min="2316" max="2316" width="2.44140625" style="2" customWidth="1"/>
    <col min="2317" max="2317" width="4.77734375" style="2" customWidth="1"/>
    <col min="2318" max="2318" width="6.44140625" style="2" customWidth="1"/>
    <col min="2319" max="2320" width="4" style="2" customWidth="1"/>
    <col min="2321" max="2321" width="5.44140625" style="2" bestFit="1" customWidth="1"/>
    <col min="2322" max="2322" width="4" style="2" customWidth="1"/>
    <col min="2323" max="2323" width="4.77734375" style="2" bestFit="1" customWidth="1"/>
    <col min="2324" max="2324" width="6.77734375" style="2" customWidth="1"/>
    <col min="2325" max="2325" width="8.77734375" style="2"/>
    <col min="2326" max="2336" width="3.44140625" style="2" customWidth="1"/>
    <col min="2337" max="2337" width="5" style="2" customWidth="1"/>
    <col min="2338" max="2341" width="5.44140625" style="2" bestFit="1" customWidth="1"/>
    <col min="2342" max="2343" width="5.109375" style="2" bestFit="1" customWidth="1"/>
    <col min="2344" max="2346" width="5.44140625" style="2" bestFit="1" customWidth="1"/>
    <col min="2347" max="2349" width="5.44140625" style="2" customWidth="1"/>
    <col min="2350" max="2350" width="2.109375" style="2" customWidth="1"/>
    <col min="2351" max="2351" width="3" style="2" bestFit="1" customWidth="1"/>
    <col min="2352" max="2360" width="5.44140625" style="2" bestFit="1" customWidth="1"/>
    <col min="2361" max="2362" width="5.44140625" style="2" customWidth="1"/>
    <col min="2363" max="2363" width="2.77734375" style="2" customWidth="1"/>
    <col min="2364" max="2373" width="3" style="2" bestFit="1" customWidth="1"/>
    <col min="2374" max="2374" width="4" style="2" customWidth="1"/>
    <col min="2375" max="2375" width="4.44140625" style="2" customWidth="1"/>
    <col min="2376" max="2556" width="8.77734375" style="2"/>
    <col min="2557" max="2557" width="4.44140625" style="2" bestFit="1" customWidth="1"/>
    <col min="2558" max="2558" width="22.44140625" style="2" customWidth="1"/>
    <col min="2559" max="2559" width="5.109375" style="2" customWidth="1"/>
    <col min="2560" max="2560" width="6.44140625" style="2" customWidth="1"/>
    <col min="2561" max="2561" width="8.44140625" style="2" customWidth="1"/>
    <col min="2562" max="2566" width="6.44140625" style="2" customWidth="1"/>
    <col min="2567" max="2567" width="9.77734375" style="2" customWidth="1"/>
    <col min="2568" max="2568" width="8.44140625" style="2" customWidth="1"/>
    <col min="2569" max="2570" width="9.44140625" style="2" customWidth="1"/>
    <col min="2571" max="2571" width="8.44140625" style="2" customWidth="1"/>
    <col min="2572" max="2572" width="2.44140625" style="2" customWidth="1"/>
    <col min="2573" max="2573" width="4.77734375" style="2" customWidth="1"/>
    <col min="2574" max="2574" width="6.44140625" style="2" customWidth="1"/>
    <col min="2575" max="2576" width="4" style="2" customWidth="1"/>
    <col min="2577" max="2577" width="5.44140625" style="2" bestFit="1" customWidth="1"/>
    <col min="2578" max="2578" width="4" style="2" customWidth="1"/>
    <col min="2579" max="2579" width="4.77734375" style="2" bestFit="1" customWidth="1"/>
    <col min="2580" max="2580" width="6.77734375" style="2" customWidth="1"/>
    <col min="2581" max="2581" width="8.77734375" style="2"/>
    <col min="2582" max="2592" width="3.44140625" style="2" customWidth="1"/>
    <col min="2593" max="2593" width="5" style="2" customWidth="1"/>
    <col min="2594" max="2597" width="5.44140625" style="2" bestFit="1" customWidth="1"/>
    <col min="2598" max="2599" width="5.109375" style="2" bestFit="1" customWidth="1"/>
    <col min="2600" max="2602" width="5.44140625" style="2" bestFit="1" customWidth="1"/>
    <col min="2603" max="2605" width="5.44140625" style="2" customWidth="1"/>
    <col min="2606" max="2606" width="2.109375" style="2" customWidth="1"/>
    <col min="2607" max="2607" width="3" style="2" bestFit="1" customWidth="1"/>
    <col min="2608" max="2616" width="5.44140625" style="2" bestFit="1" customWidth="1"/>
    <col min="2617" max="2618" width="5.44140625" style="2" customWidth="1"/>
    <col min="2619" max="2619" width="2.77734375" style="2" customWidth="1"/>
    <col min="2620" max="2629" width="3" style="2" bestFit="1" customWidth="1"/>
    <col min="2630" max="2630" width="4" style="2" customWidth="1"/>
    <col min="2631" max="2631" width="4.44140625" style="2" customWidth="1"/>
    <col min="2632" max="2812" width="8.77734375" style="2"/>
    <col min="2813" max="2813" width="4.44140625" style="2" bestFit="1" customWidth="1"/>
    <col min="2814" max="2814" width="22.44140625" style="2" customWidth="1"/>
    <col min="2815" max="2815" width="5.109375" style="2" customWidth="1"/>
    <col min="2816" max="2816" width="6.44140625" style="2" customWidth="1"/>
    <col min="2817" max="2817" width="8.44140625" style="2" customWidth="1"/>
    <col min="2818" max="2822" width="6.44140625" style="2" customWidth="1"/>
    <col min="2823" max="2823" width="9.77734375" style="2" customWidth="1"/>
    <col min="2824" max="2824" width="8.44140625" style="2" customWidth="1"/>
    <col min="2825" max="2826" width="9.44140625" style="2" customWidth="1"/>
    <col min="2827" max="2827" width="8.44140625" style="2" customWidth="1"/>
    <col min="2828" max="2828" width="2.44140625" style="2" customWidth="1"/>
    <col min="2829" max="2829" width="4.77734375" style="2" customWidth="1"/>
    <col min="2830" max="2830" width="6.44140625" style="2" customWidth="1"/>
    <col min="2831" max="2832" width="4" style="2" customWidth="1"/>
    <col min="2833" max="2833" width="5.44140625" style="2" bestFit="1" customWidth="1"/>
    <col min="2834" max="2834" width="4" style="2" customWidth="1"/>
    <col min="2835" max="2835" width="4.77734375" style="2" bestFit="1" customWidth="1"/>
    <col min="2836" max="2836" width="6.77734375" style="2" customWidth="1"/>
    <col min="2837" max="2837" width="8.77734375" style="2"/>
    <col min="2838" max="2848" width="3.44140625" style="2" customWidth="1"/>
    <col min="2849" max="2849" width="5" style="2" customWidth="1"/>
    <col min="2850" max="2853" width="5.44140625" style="2" bestFit="1" customWidth="1"/>
    <col min="2854" max="2855" width="5.109375" style="2" bestFit="1" customWidth="1"/>
    <col min="2856" max="2858" width="5.44140625" style="2" bestFit="1" customWidth="1"/>
    <col min="2859" max="2861" width="5.44140625" style="2" customWidth="1"/>
    <col min="2862" max="2862" width="2.109375" style="2" customWidth="1"/>
    <col min="2863" max="2863" width="3" style="2" bestFit="1" customWidth="1"/>
    <col min="2864" max="2872" width="5.44140625" style="2" bestFit="1" customWidth="1"/>
    <col min="2873" max="2874" width="5.44140625" style="2" customWidth="1"/>
    <col min="2875" max="2875" width="2.77734375" style="2" customWidth="1"/>
    <col min="2876" max="2885" width="3" style="2" bestFit="1" customWidth="1"/>
    <col min="2886" max="2886" width="4" style="2" customWidth="1"/>
    <col min="2887" max="2887" width="4.44140625" style="2" customWidth="1"/>
    <col min="2888" max="3068" width="8.77734375" style="2"/>
    <col min="3069" max="3069" width="4.44140625" style="2" bestFit="1" customWidth="1"/>
    <col min="3070" max="3070" width="22.44140625" style="2" customWidth="1"/>
    <col min="3071" max="3071" width="5.109375" style="2" customWidth="1"/>
    <col min="3072" max="3072" width="6.44140625" style="2" customWidth="1"/>
    <col min="3073" max="3073" width="8.44140625" style="2" customWidth="1"/>
    <col min="3074" max="3078" width="6.44140625" style="2" customWidth="1"/>
    <col min="3079" max="3079" width="9.77734375" style="2" customWidth="1"/>
    <col min="3080" max="3080" width="8.44140625" style="2" customWidth="1"/>
    <col min="3081" max="3082" width="9.44140625" style="2" customWidth="1"/>
    <col min="3083" max="3083" width="8.44140625" style="2" customWidth="1"/>
    <col min="3084" max="3084" width="2.44140625" style="2" customWidth="1"/>
    <col min="3085" max="3085" width="4.77734375" style="2" customWidth="1"/>
    <col min="3086" max="3086" width="6.44140625" style="2" customWidth="1"/>
    <col min="3087" max="3088" width="4" style="2" customWidth="1"/>
    <col min="3089" max="3089" width="5.44140625" style="2" bestFit="1" customWidth="1"/>
    <col min="3090" max="3090" width="4" style="2" customWidth="1"/>
    <col min="3091" max="3091" width="4.77734375" style="2" bestFit="1" customWidth="1"/>
    <col min="3092" max="3092" width="6.77734375" style="2" customWidth="1"/>
    <col min="3093" max="3093" width="8.77734375" style="2"/>
    <col min="3094" max="3104" width="3.44140625" style="2" customWidth="1"/>
    <col min="3105" max="3105" width="5" style="2" customWidth="1"/>
    <col min="3106" max="3109" width="5.44140625" style="2" bestFit="1" customWidth="1"/>
    <col min="3110" max="3111" width="5.109375" style="2" bestFit="1" customWidth="1"/>
    <col min="3112" max="3114" width="5.44140625" style="2" bestFit="1" customWidth="1"/>
    <col min="3115" max="3117" width="5.44140625" style="2" customWidth="1"/>
    <col min="3118" max="3118" width="2.109375" style="2" customWidth="1"/>
    <col min="3119" max="3119" width="3" style="2" bestFit="1" customWidth="1"/>
    <col min="3120" max="3128" width="5.44140625" style="2" bestFit="1" customWidth="1"/>
    <col min="3129" max="3130" width="5.44140625" style="2" customWidth="1"/>
    <col min="3131" max="3131" width="2.77734375" style="2" customWidth="1"/>
    <col min="3132" max="3141" width="3" style="2" bestFit="1" customWidth="1"/>
    <col min="3142" max="3142" width="4" style="2" customWidth="1"/>
    <col min="3143" max="3143" width="4.44140625" style="2" customWidth="1"/>
    <col min="3144" max="3324" width="8.77734375" style="2"/>
    <col min="3325" max="3325" width="4.44140625" style="2" bestFit="1" customWidth="1"/>
    <col min="3326" max="3326" width="22.44140625" style="2" customWidth="1"/>
    <col min="3327" max="3327" width="5.109375" style="2" customWidth="1"/>
    <col min="3328" max="3328" width="6.44140625" style="2" customWidth="1"/>
    <col min="3329" max="3329" width="8.44140625" style="2" customWidth="1"/>
    <col min="3330" max="3334" width="6.44140625" style="2" customWidth="1"/>
    <col min="3335" max="3335" width="9.77734375" style="2" customWidth="1"/>
    <col min="3336" max="3336" width="8.44140625" style="2" customWidth="1"/>
    <col min="3337" max="3338" width="9.44140625" style="2" customWidth="1"/>
    <col min="3339" max="3339" width="8.44140625" style="2" customWidth="1"/>
    <col min="3340" max="3340" width="2.44140625" style="2" customWidth="1"/>
    <col min="3341" max="3341" width="4.77734375" style="2" customWidth="1"/>
    <col min="3342" max="3342" width="6.44140625" style="2" customWidth="1"/>
    <col min="3343" max="3344" width="4" style="2" customWidth="1"/>
    <col min="3345" max="3345" width="5.44140625" style="2" bestFit="1" customWidth="1"/>
    <col min="3346" max="3346" width="4" style="2" customWidth="1"/>
    <col min="3347" max="3347" width="4.77734375" style="2" bestFit="1" customWidth="1"/>
    <col min="3348" max="3348" width="6.77734375" style="2" customWidth="1"/>
    <col min="3349" max="3349" width="8.77734375" style="2"/>
    <col min="3350" max="3360" width="3.44140625" style="2" customWidth="1"/>
    <col min="3361" max="3361" width="5" style="2" customWidth="1"/>
    <col min="3362" max="3365" width="5.44140625" style="2" bestFit="1" customWidth="1"/>
    <col min="3366" max="3367" width="5.109375" style="2" bestFit="1" customWidth="1"/>
    <col min="3368" max="3370" width="5.44140625" style="2" bestFit="1" customWidth="1"/>
    <col min="3371" max="3373" width="5.44140625" style="2" customWidth="1"/>
    <col min="3374" max="3374" width="2.109375" style="2" customWidth="1"/>
    <col min="3375" max="3375" width="3" style="2" bestFit="1" customWidth="1"/>
    <col min="3376" max="3384" width="5.44140625" style="2" bestFit="1" customWidth="1"/>
    <col min="3385" max="3386" width="5.44140625" style="2" customWidth="1"/>
    <col min="3387" max="3387" width="2.77734375" style="2" customWidth="1"/>
    <col min="3388" max="3397" width="3" style="2" bestFit="1" customWidth="1"/>
    <col min="3398" max="3398" width="4" style="2" customWidth="1"/>
    <col min="3399" max="3399" width="4.44140625" style="2" customWidth="1"/>
    <col min="3400" max="3580" width="8.77734375" style="2"/>
    <col min="3581" max="3581" width="4.44140625" style="2" bestFit="1" customWidth="1"/>
    <col min="3582" max="3582" width="22.44140625" style="2" customWidth="1"/>
    <col min="3583" max="3583" width="5.109375" style="2" customWidth="1"/>
    <col min="3584" max="3584" width="6.44140625" style="2" customWidth="1"/>
    <col min="3585" max="3585" width="8.44140625" style="2" customWidth="1"/>
    <col min="3586" max="3590" width="6.44140625" style="2" customWidth="1"/>
    <col min="3591" max="3591" width="9.77734375" style="2" customWidth="1"/>
    <col min="3592" max="3592" width="8.44140625" style="2" customWidth="1"/>
    <col min="3593" max="3594" width="9.44140625" style="2" customWidth="1"/>
    <col min="3595" max="3595" width="8.44140625" style="2" customWidth="1"/>
    <col min="3596" max="3596" width="2.44140625" style="2" customWidth="1"/>
    <col min="3597" max="3597" width="4.77734375" style="2" customWidth="1"/>
    <col min="3598" max="3598" width="6.44140625" style="2" customWidth="1"/>
    <col min="3599" max="3600" width="4" style="2" customWidth="1"/>
    <col min="3601" max="3601" width="5.44140625" style="2" bestFit="1" customWidth="1"/>
    <col min="3602" max="3602" width="4" style="2" customWidth="1"/>
    <col min="3603" max="3603" width="4.77734375" style="2" bestFit="1" customWidth="1"/>
    <col min="3604" max="3604" width="6.77734375" style="2" customWidth="1"/>
    <col min="3605" max="3605" width="8.77734375" style="2"/>
    <col min="3606" max="3616" width="3.44140625" style="2" customWidth="1"/>
    <col min="3617" max="3617" width="5" style="2" customWidth="1"/>
    <col min="3618" max="3621" width="5.44140625" style="2" bestFit="1" customWidth="1"/>
    <col min="3622" max="3623" width="5.109375" style="2" bestFit="1" customWidth="1"/>
    <col min="3624" max="3626" width="5.44140625" style="2" bestFit="1" customWidth="1"/>
    <col min="3627" max="3629" width="5.44140625" style="2" customWidth="1"/>
    <col min="3630" max="3630" width="2.109375" style="2" customWidth="1"/>
    <col min="3631" max="3631" width="3" style="2" bestFit="1" customWidth="1"/>
    <col min="3632" max="3640" width="5.44140625" style="2" bestFit="1" customWidth="1"/>
    <col min="3641" max="3642" width="5.44140625" style="2" customWidth="1"/>
    <col min="3643" max="3643" width="2.77734375" style="2" customWidth="1"/>
    <col min="3644" max="3653" width="3" style="2" bestFit="1" customWidth="1"/>
    <col min="3654" max="3654" width="4" style="2" customWidth="1"/>
    <col min="3655" max="3655" width="4.44140625" style="2" customWidth="1"/>
    <col min="3656" max="3836" width="8.77734375" style="2"/>
    <col min="3837" max="3837" width="4.44140625" style="2" bestFit="1" customWidth="1"/>
    <col min="3838" max="3838" width="22.44140625" style="2" customWidth="1"/>
    <col min="3839" max="3839" width="5.109375" style="2" customWidth="1"/>
    <col min="3840" max="3840" width="6.44140625" style="2" customWidth="1"/>
    <col min="3841" max="3841" width="8.44140625" style="2" customWidth="1"/>
    <col min="3842" max="3846" width="6.44140625" style="2" customWidth="1"/>
    <col min="3847" max="3847" width="9.77734375" style="2" customWidth="1"/>
    <col min="3848" max="3848" width="8.44140625" style="2" customWidth="1"/>
    <col min="3849" max="3850" width="9.44140625" style="2" customWidth="1"/>
    <col min="3851" max="3851" width="8.44140625" style="2" customWidth="1"/>
    <col min="3852" max="3852" width="2.44140625" style="2" customWidth="1"/>
    <col min="3853" max="3853" width="4.77734375" style="2" customWidth="1"/>
    <col min="3854" max="3854" width="6.44140625" style="2" customWidth="1"/>
    <col min="3855" max="3856" width="4" style="2" customWidth="1"/>
    <col min="3857" max="3857" width="5.44140625" style="2" bestFit="1" customWidth="1"/>
    <col min="3858" max="3858" width="4" style="2" customWidth="1"/>
    <col min="3859" max="3859" width="4.77734375" style="2" bestFit="1" customWidth="1"/>
    <col min="3860" max="3860" width="6.77734375" style="2" customWidth="1"/>
    <col min="3861" max="3861" width="8.77734375" style="2"/>
    <col min="3862" max="3872" width="3.44140625" style="2" customWidth="1"/>
    <col min="3873" max="3873" width="5" style="2" customWidth="1"/>
    <col min="3874" max="3877" width="5.44140625" style="2" bestFit="1" customWidth="1"/>
    <col min="3878" max="3879" width="5.109375" style="2" bestFit="1" customWidth="1"/>
    <col min="3880" max="3882" width="5.44140625" style="2" bestFit="1" customWidth="1"/>
    <col min="3883" max="3885" width="5.44140625" style="2" customWidth="1"/>
    <col min="3886" max="3886" width="2.109375" style="2" customWidth="1"/>
    <col min="3887" max="3887" width="3" style="2" bestFit="1" customWidth="1"/>
    <col min="3888" max="3896" width="5.44140625" style="2" bestFit="1" customWidth="1"/>
    <col min="3897" max="3898" width="5.44140625" style="2" customWidth="1"/>
    <col min="3899" max="3899" width="2.77734375" style="2" customWidth="1"/>
    <col min="3900" max="3909" width="3" style="2" bestFit="1" customWidth="1"/>
    <col min="3910" max="3910" width="4" style="2" customWidth="1"/>
    <col min="3911" max="3911" width="4.44140625" style="2" customWidth="1"/>
    <col min="3912" max="4092" width="8.77734375" style="2"/>
    <col min="4093" max="4093" width="4.44140625" style="2" bestFit="1" customWidth="1"/>
    <col min="4094" max="4094" width="22.44140625" style="2" customWidth="1"/>
    <col min="4095" max="4095" width="5.109375" style="2" customWidth="1"/>
    <col min="4096" max="4096" width="6.44140625" style="2" customWidth="1"/>
    <col min="4097" max="4097" width="8.44140625" style="2" customWidth="1"/>
    <col min="4098" max="4102" width="6.44140625" style="2" customWidth="1"/>
    <col min="4103" max="4103" width="9.77734375" style="2" customWidth="1"/>
    <col min="4104" max="4104" width="8.44140625" style="2" customWidth="1"/>
    <col min="4105" max="4106" width="9.44140625" style="2" customWidth="1"/>
    <col min="4107" max="4107" width="8.44140625" style="2" customWidth="1"/>
    <col min="4108" max="4108" width="2.44140625" style="2" customWidth="1"/>
    <col min="4109" max="4109" width="4.77734375" style="2" customWidth="1"/>
    <col min="4110" max="4110" width="6.44140625" style="2" customWidth="1"/>
    <col min="4111" max="4112" width="4" style="2" customWidth="1"/>
    <col min="4113" max="4113" width="5.44140625" style="2" bestFit="1" customWidth="1"/>
    <col min="4114" max="4114" width="4" style="2" customWidth="1"/>
    <col min="4115" max="4115" width="4.77734375" style="2" bestFit="1" customWidth="1"/>
    <col min="4116" max="4116" width="6.77734375" style="2" customWidth="1"/>
    <col min="4117" max="4117" width="8.77734375" style="2"/>
    <col min="4118" max="4128" width="3.44140625" style="2" customWidth="1"/>
    <col min="4129" max="4129" width="5" style="2" customWidth="1"/>
    <col min="4130" max="4133" width="5.44140625" style="2" bestFit="1" customWidth="1"/>
    <col min="4134" max="4135" width="5.109375" style="2" bestFit="1" customWidth="1"/>
    <col min="4136" max="4138" width="5.44140625" style="2" bestFit="1" customWidth="1"/>
    <col min="4139" max="4141" width="5.44140625" style="2" customWidth="1"/>
    <col min="4142" max="4142" width="2.109375" style="2" customWidth="1"/>
    <col min="4143" max="4143" width="3" style="2" bestFit="1" customWidth="1"/>
    <col min="4144" max="4152" width="5.44140625" style="2" bestFit="1" customWidth="1"/>
    <col min="4153" max="4154" width="5.44140625" style="2" customWidth="1"/>
    <col min="4155" max="4155" width="2.77734375" style="2" customWidth="1"/>
    <col min="4156" max="4165" width="3" style="2" bestFit="1" customWidth="1"/>
    <col min="4166" max="4166" width="4" style="2" customWidth="1"/>
    <col min="4167" max="4167" width="4.44140625" style="2" customWidth="1"/>
    <col min="4168" max="4348" width="8.77734375" style="2"/>
    <col min="4349" max="4349" width="4.44140625" style="2" bestFit="1" customWidth="1"/>
    <col min="4350" max="4350" width="22.44140625" style="2" customWidth="1"/>
    <col min="4351" max="4351" width="5.109375" style="2" customWidth="1"/>
    <col min="4352" max="4352" width="6.44140625" style="2" customWidth="1"/>
    <col min="4353" max="4353" width="8.44140625" style="2" customWidth="1"/>
    <col min="4354" max="4358" width="6.44140625" style="2" customWidth="1"/>
    <col min="4359" max="4359" width="9.77734375" style="2" customWidth="1"/>
    <col min="4360" max="4360" width="8.44140625" style="2" customWidth="1"/>
    <col min="4361" max="4362" width="9.44140625" style="2" customWidth="1"/>
    <col min="4363" max="4363" width="8.44140625" style="2" customWidth="1"/>
    <col min="4364" max="4364" width="2.44140625" style="2" customWidth="1"/>
    <col min="4365" max="4365" width="4.77734375" style="2" customWidth="1"/>
    <col min="4366" max="4366" width="6.44140625" style="2" customWidth="1"/>
    <col min="4367" max="4368" width="4" style="2" customWidth="1"/>
    <col min="4369" max="4369" width="5.44140625" style="2" bestFit="1" customWidth="1"/>
    <col min="4370" max="4370" width="4" style="2" customWidth="1"/>
    <col min="4371" max="4371" width="4.77734375" style="2" bestFit="1" customWidth="1"/>
    <col min="4372" max="4372" width="6.77734375" style="2" customWidth="1"/>
    <col min="4373" max="4373" width="8.77734375" style="2"/>
    <col min="4374" max="4384" width="3.44140625" style="2" customWidth="1"/>
    <col min="4385" max="4385" width="5" style="2" customWidth="1"/>
    <col min="4386" max="4389" width="5.44140625" style="2" bestFit="1" customWidth="1"/>
    <col min="4390" max="4391" width="5.109375" style="2" bestFit="1" customWidth="1"/>
    <col min="4392" max="4394" width="5.44140625" style="2" bestFit="1" customWidth="1"/>
    <col min="4395" max="4397" width="5.44140625" style="2" customWidth="1"/>
    <col min="4398" max="4398" width="2.109375" style="2" customWidth="1"/>
    <col min="4399" max="4399" width="3" style="2" bestFit="1" customWidth="1"/>
    <col min="4400" max="4408" width="5.44140625" style="2" bestFit="1" customWidth="1"/>
    <col min="4409" max="4410" width="5.44140625" style="2" customWidth="1"/>
    <col min="4411" max="4411" width="2.77734375" style="2" customWidth="1"/>
    <col min="4412" max="4421" width="3" style="2" bestFit="1" customWidth="1"/>
    <col min="4422" max="4422" width="4" style="2" customWidth="1"/>
    <col min="4423" max="4423" width="4.44140625" style="2" customWidth="1"/>
    <col min="4424" max="4604" width="8.77734375" style="2"/>
    <col min="4605" max="4605" width="4.44140625" style="2" bestFit="1" customWidth="1"/>
    <col min="4606" max="4606" width="22.44140625" style="2" customWidth="1"/>
    <col min="4607" max="4607" width="5.109375" style="2" customWidth="1"/>
    <col min="4608" max="4608" width="6.44140625" style="2" customWidth="1"/>
    <col min="4609" max="4609" width="8.44140625" style="2" customWidth="1"/>
    <col min="4610" max="4614" width="6.44140625" style="2" customWidth="1"/>
    <col min="4615" max="4615" width="9.77734375" style="2" customWidth="1"/>
    <col min="4616" max="4616" width="8.44140625" style="2" customWidth="1"/>
    <col min="4617" max="4618" width="9.44140625" style="2" customWidth="1"/>
    <col min="4619" max="4619" width="8.44140625" style="2" customWidth="1"/>
    <col min="4620" max="4620" width="2.44140625" style="2" customWidth="1"/>
    <col min="4621" max="4621" width="4.77734375" style="2" customWidth="1"/>
    <col min="4622" max="4622" width="6.44140625" style="2" customWidth="1"/>
    <col min="4623" max="4624" width="4" style="2" customWidth="1"/>
    <col min="4625" max="4625" width="5.44140625" style="2" bestFit="1" customWidth="1"/>
    <col min="4626" max="4626" width="4" style="2" customWidth="1"/>
    <col min="4627" max="4627" width="4.77734375" style="2" bestFit="1" customWidth="1"/>
    <col min="4628" max="4628" width="6.77734375" style="2" customWidth="1"/>
    <col min="4629" max="4629" width="8.77734375" style="2"/>
    <col min="4630" max="4640" width="3.44140625" style="2" customWidth="1"/>
    <col min="4641" max="4641" width="5" style="2" customWidth="1"/>
    <col min="4642" max="4645" width="5.44140625" style="2" bestFit="1" customWidth="1"/>
    <col min="4646" max="4647" width="5.109375" style="2" bestFit="1" customWidth="1"/>
    <col min="4648" max="4650" width="5.44140625" style="2" bestFit="1" customWidth="1"/>
    <col min="4651" max="4653" width="5.44140625" style="2" customWidth="1"/>
    <col min="4654" max="4654" width="2.109375" style="2" customWidth="1"/>
    <col min="4655" max="4655" width="3" style="2" bestFit="1" customWidth="1"/>
    <col min="4656" max="4664" width="5.44140625" style="2" bestFit="1" customWidth="1"/>
    <col min="4665" max="4666" width="5.44140625" style="2" customWidth="1"/>
    <col min="4667" max="4667" width="2.77734375" style="2" customWidth="1"/>
    <col min="4668" max="4677" width="3" style="2" bestFit="1" customWidth="1"/>
    <col min="4678" max="4678" width="4" style="2" customWidth="1"/>
    <col min="4679" max="4679" width="4.44140625" style="2" customWidth="1"/>
    <col min="4680" max="4860" width="8.77734375" style="2"/>
    <col min="4861" max="4861" width="4.44140625" style="2" bestFit="1" customWidth="1"/>
    <col min="4862" max="4862" width="22.44140625" style="2" customWidth="1"/>
    <col min="4863" max="4863" width="5.109375" style="2" customWidth="1"/>
    <col min="4864" max="4864" width="6.44140625" style="2" customWidth="1"/>
    <col min="4865" max="4865" width="8.44140625" style="2" customWidth="1"/>
    <col min="4866" max="4870" width="6.44140625" style="2" customWidth="1"/>
    <col min="4871" max="4871" width="9.77734375" style="2" customWidth="1"/>
    <col min="4872" max="4872" width="8.44140625" style="2" customWidth="1"/>
    <col min="4873" max="4874" width="9.44140625" style="2" customWidth="1"/>
    <col min="4875" max="4875" width="8.44140625" style="2" customWidth="1"/>
    <col min="4876" max="4876" width="2.44140625" style="2" customWidth="1"/>
    <col min="4877" max="4877" width="4.77734375" style="2" customWidth="1"/>
    <col min="4878" max="4878" width="6.44140625" style="2" customWidth="1"/>
    <col min="4879" max="4880" width="4" style="2" customWidth="1"/>
    <col min="4881" max="4881" width="5.44140625" style="2" bestFit="1" customWidth="1"/>
    <col min="4882" max="4882" width="4" style="2" customWidth="1"/>
    <col min="4883" max="4883" width="4.77734375" style="2" bestFit="1" customWidth="1"/>
    <col min="4884" max="4884" width="6.77734375" style="2" customWidth="1"/>
    <col min="4885" max="4885" width="8.77734375" style="2"/>
    <col min="4886" max="4896" width="3.44140625" style="2" customWidth="1"/>
    <col min="4897" max="4897" width="5" style="2" customWidth="1"/>
    <col min="4898" max="4901" width="5.44140625" style="2" bestFit="1" customWidth="1"/>
    <col min="4902" max="4903" width="5.109375" style="2" bestFit="1" customWidth="1"/>
    <col min="4904" max="4906" width="5.44140625" style="2" bestFit="1" customWidth="1"/>
    <col min="4907" max="4909" width="5.44140625" style="2" customWidth="1"/>
    <col min="4910" max="4910" width="2.109375" style="2" customWidth="1"/>
    <col min="4911" max="4911" width="3" style="2" bestFit="1" customWidth="1"/>
    <col min="4912" max="4920" width="5.44140625" style="2" bestFit="1" customWidth="1"/>
    <col min="4921" max="4922" width="5.44140625" style="2" customWidth="1"/>
    <col min="4923" max="4923" width="2.77734375" style="2" customWidth="1"/>
    <col min="4924" max="4933" width="3" style="2" bestFit="1" customWidth="1"/>
    <col min="4934" max="4934" width="4" style="2" customWidth="1"/>
    <col min="4935" max="4935" width="4.44140625" style="2" customWidth="1"/>
    <col min="4936" max="5116" width="8.77734375" style="2"/>
    <col min="5117" max="5117" width="4.44140625" style="2" bestFit="1" customWidth="1"/>
    <col min="5118" max="5118" width="22.44140625" style="2" customWidth="1"/>
    <col min="5119" max="5119" width="5.109375" style="2" customWidth="1"/>
    <col min="5120" max="5120" width="6.44140625" style="2" customWidth="1"/>
    <col min="5121" max="5121" width="8.44140625" style="2" customWidth="1"/>
    <col min="5122" max="5126" width="6.44140625" style="2" customWidth="1"/>
    <col min="5127" max="5127" width="9.77734375" style="2" customWidth="1"/>
    <col min="5128" max="5128" width="8.44140625" style="2" customWidth="1"/>
    <col min="5129" max="5130" width="9.44140625" style="2" customWidth="1"/>
    <col min="5131" max="5131" width="8.44140625" style="2" customWidth="1"/>
    <col min="5132" max="5132" width="2.44140625" style="2" customWidth="1"/>
    <col min="5133" max="5133" width="4.77734375" style="2" customWidth="1"/>
    <col min="5134" max="5134" width="6.44140625" style="2" customWidth="1"/>
    <col min="5135" max="5136" width="4" style="2" customWidth="1"/>
    <col min="5137" max="5137" width="5.44140625" style="2" bestFit="1" customWidth="1"/>
    <col min="5138" max="5138" width="4" style="2" customWidth="1"/>
    <col min="5139" max="5139" width="4.77734375" style="2" bestFit="1" customWidth="1"/>
    <col min="5140" max="5140" width="6.77734375" style="2" customWidth="1"/>
    <col min="5141" max="5141" width="8.77734375" style="2"/>
    <col min="5142" max="5152" width="3.44140625" style="2" customWidth="1"/>
    <col min="5153" max="5153" width="5" style="2" customWidth="1"/>
    <col min="5154" max="5157" width="5.44140625" style="2" bestFit="1" customWidth="1"/>
    <col min="5158" max="5159" width="5.109375" style="2" bestFit="1" customWidth="1"/>
    <col min="5160" max="5162" width="5.44140625" style="2" bestFit="1" customWidth="1"/>
    <col min="5163" max="5165" width="5.44140625" style="2" customWidth="1"/>
    <col min="5166" max="5166" width="2.109375" style="2" customWidth="1"/>
    <col min="5167" max="5167" width="3" style="2" bestFit="1" customWidth="1"/>
    <col min="5168" max="5176" width="5.44140625" style="2" bestFit="1" customWidth="1"/>
    <col min="5177" max="5178" width="5.44140625" style="2" customWidth="1"/>
    <col min="5179" max="5179" width="2.77734375" style="2" customWidth="1"/>
    <col min="5180" max="5189" width="3" style="2" bestFit="1" customWidth="1"/>
    <col min="5190" max="5190" width="4" style="2" customWidth="1"/>
    <col min="5191" max="5191" width="4.44140625" style="2" customWidth="1"/>
    <col min="5192" max="5372" width="8.77734375" style="2"/>
    <col min="5373" max="5373" width="4.44140625" style="2" bestFit="1" customWidth="1"/>
    <col min="5374" max="5374" width="22.44140625" style="2" customWidth="1"/>
    <col min="5375" max="5375" width="5.109375" style="2" customWidth="1"/>
    <col min="5376" max="5376" width="6.44140625" style="2" customWidth="1"/>
    <col min="5377" max="5377" width="8.44140625" style="2" customWidth="1"/>
    <col min="5378" max="5382" width="6.44140625" style="2" customWidth="1"/>
    <col min="5383" max="5383" width="9.77734375" style="2" customWidth="1"/>
    <col min="5384" max="5384" width="8.44140625" style="2" customWidth="1"/>
    <col min="5385" max="5386" width="9.44140625" style="2" customWidth="1"/>
    <col min="5387" max="5387" width="8.44140625" style="2" customWidth="1"/>
    <col min="5388" max="5388" width="2.44140625" style="2" customWidth="1"/>
    <col min="5389" max="5389" width="4.77734375" style="2" customWidth="1"/>
    <col min="5390" max="5390" width="6.44140625" style="2" customWidth="1"/>
    <col min="5391" max="5392" width="4" style="2" customWidth="1"/>
    <col min="5393" max="5393" width="5.44140625" style="2" bestFit="1" customWidth="1"/>
    <col min="5394" max="5394" width="4" style="2" customWidth="1"/>
    <col min="5395" max="5395" width="4.77734375" style="2" bestFit="1" customWidth="1"/>
    <col min="5396" max="5396" width="6.77734375" style="2" customWidth="1"/>
    <col min="5397" max="5397" width="8.77734375" style="2"/>
    <col min="5398" max="5408" width="3.44140625" style="2" customWidth="1"/>
    <col min="5409" max="5409" width="5" style="2" customWidth="1"/>
    <col min="5410" max="5413" width="5.44140625" style="2" bestFit="1" customWidth="1"/>
    <col min="5414" max="5415" width="5.109375" style="2" bestFit="1" customWidth="1"/>
    <col min="5416" max="5418" width="5.44140625" style="2" bestFit="1" customWidth="1"/>
    <col min="5419" max="5421" width="5.44140625" style="2" customWidth="1"/>
    <col min="5422" max="5422" width="2.109375" style="2" customWidth="1"/>
    <col min="5423" max="5423" width="3" style="2" bestFit="1" customWidth="1"/>
    <col min="5424" max="5432" width="5.44140625" style="2" bestFit="1" customWidth="1"/>
    <col min="5433" max="5434" width="5.44140625" style="2" customWidth="1"/>
    <col min="5435" max="5435" width="2.77734375" style="2" customWidth="1"/>
    <col min="5436" max="5445" width="3" style="2" bestFit="1" customWidth="1"/>
    <col min="5446" max="5446" width="4" style="2" customWidth="1"/>
    <col min="5447" max="5447" width="4.44140625" style="2" customWidth="1"/>
    <col min="5448" max="5628" width="8.77734375" style="2"/>
    <col min="5629" max="5629" width="4.44140625" style="2" bestFit="1" customWidth="1"/>
    <col min="5630" max="5630" width="22.44140625" style="2" customWidth="1"/>
    <col min="5631" max="5631" width="5.109375" style="2" customWidth="1"/>
    <col min="5632" max="5632" width="6.44140625" style="2" customWidth="1"/>
    <col min="5633" max="5633" width="8.44140625" style="2" customWidth="1"/>
    <col min="5634" max="5638" width="6.44140625" style="2" customWidth="1"/>
    <col min="5639" max="5639" width="9.77734375" style="2" customWidth="1"/>
    <col min="5640" max="5640" width="8.44140625" style="2" customWidth="1"/>
    <col min="5641" max="5642" width="9.44140625" style="2" customWidth="1"/>
    <col min="5643" max="5643" width="8.44140625" style="2" customWidth="1"/>
    <col min="5644" max="5644" width="2.44140625" style="2" customWidth="1"/>
    <col min="5645" max="5645" width="4.77734375" style="2" customWidth="1"/>
    <col min="5646" max="5646" width="6.44140625" style="2" customWidth="1"/>
    <col min="5647" max="5648" width="4" style="2" customWidth="1"/>
    <col min="5649" max="5649" width="5.44140625" style="2" bestFit="1" customWidth="1"/>
    <col min="5650" max="5650" width="4" style="2" customWidth="1"/>
    <col min="5651" max="5651" width="4.77734375" style="2" bestFit="1" customWidth="1"/>
    <col min="5652" max="5652" width="6.77734375" style="2" customWidth="1"/>
    <col min="5653" max="5653" width="8.77734375" style="2"/>
    <col min="5654" max="5664" width="3.44140625" style="2" customWidth="1"/>
    <col min="5665" max="5665" width="5" style="2" customWidth="1"/>
    <col min="5666" max="5669" width="5.44140625" style="2" bestFit="1" customWidth="1"/>
    <col min="5670" max="5671" width="5.109375" style="2" bestFit="1" customWidth="1"/>
    <col min="5672" max="5674" width="5.44140625" style="2" bestFit="1" customWidth="1"/>
    <col min="5675" max="5677" width="5.44140625" style="2" customWidth="1"/>
    <col min="5678" max="5678" width="2.109375" style="2" customWidth="1"/>
    <col min="5679" max="5679" width="3" style="2" bestFit="1" customWidth="1"/>
    <col min="5680" max="5688" width="5.44140625" style="2" bestFit="1" customWidth="1"/>
    <col min="5689" max="5690" width="5.44140625" style="2" customWidth="1"/>
    <col min="5691" max="5691" width="2.77734375" style="2" customWidth="1"/>
    <col min="5692" max="5701" width="3" style="2" bestFit="1" customWidth="1"/>
    <col min="5702" max="5702" width="4" style="2" customWidth="1"/>
    <col min="5703" max="5703" width="4.44140625" style="2" customWidth="1"/>
    <col min="5704" max="5884" width="8.77734375" style="2"/>
    <col min="5885" max="5885" width="4.44140625" style="2" bestFit="1" customWidth="1"/>
    <col min="5886" max="5886" width="22.44140625" style="2" customWidth="1"/>
    <col min="5887" max="5887" width="5.109375" style="2" customWidth="1"/>
    <col min="5888" max="5888" width="6.44140625" style="2" customWidth="1"/>
    <col min="5889" max="5889" width="8.44140625" style="2" customWidth="1"/>
    <col min="5890" max="5894" width="6.44140625" style="2" customWidth="1"/>
    <col min="5895" max="5895" width="9.77734375" style="2" customWidth="1"/>
    <col min="5896" max="5896" width="8.44140625" style="2" customWidth="1"/>
    <col min="5897" max="5898" width="9.44140625" style="2" customWidth="1"/>
    <col min="5899" max="5899" width="8.44140625" style="2" customWidth="1"/>
    <col min="5900" max="5900" width="2.44140625" style="2" customWidth="1"/>
    <col min="5901" max="5901" width="4.77734375" style="2" customWidth="1"/>
    <col min="5902" max="5902" width="6.44140625" style="2" customWidth="1"/>
    <col min="5903" max="5904" width="4" style="2" customWidth="1"/>
    <col min="5905" max="5905" width="5.44140625" style="2" bestFit="1" customWidth="1"/>
    <col min="5906" max="5906" width="4" style="2" customWidth="1"/>
    <col min="5907" max="5907" width="4.77734375" style="2" bestFit="1" customWidth="1"/>
    <col min="5908" max="5908" width="6.77734375" style="2" customWidth="1"/>
    <col min="5909" max="5909" width="8.77734375" style="2"/>
    <col min="5910" max="5920" width="3.44140625" style="2" customWidth="1"/>
    <col min="5921" max="5921" width="5" style="2" customWidth="1"/>
    <col min="5922" max="5925" width="5.44140625" style="2" bestFit="1" customWidth="1"/>
    <col min="5926" max="5927" width="5.109375" style="2" bestFit="1" customWidth="1"/>
    <col min="5928" max="5930" width="5.44140625" style="2" bestFit="1" customWidth="1"/>
    <col min="5931" max="5933" width="5.44140625" style="2" customWidth="1"/>
    <col min="5934" max="5934" width="2.109375" style="2" customWidth="1"/>
    <col min="5935" max="5935" width="3" style="2" bestFit="1" customWidth="1"/>
    <col min="5936" max="5944" width="5.44140625" style="2" bestFit="1" customWidth="1"/>
    <col min="5945" max="5946" width="5.44140625" style="2" customWidth="1"/>
    <col min="5947" max="5947" width="2.77734375" style="2" customWidth="1"/>
    <col min="5948" max="5957" width="3" style="2" bestFit="1" customWidth="1"/>
    <col min="5958" max="5958" width="4" style="2" customWidth="1"/>
    <col min="5959" max="5959" width="4.44140625" style="2" customWidth="1"/>
    <col min="5960" max="6140" width="8.77734375" style="2"/>
    <col min="6141" max="6141" width="4.44140625" style="2" bestFit="1" customWidth="1"/>
    <col min="6142" max="6142" width="22.44140625" style="2" customWidth="1"/>
    <col min="6143" max="6143" width="5.109375" style="2" customWidth="1"/>
    <col min="6144" max="6144" width="6.44140625" style="2" customWidth="1"/>
    <col min="6145" max="6145" width="8.44140625" style="2" customWidth="1"/>
    <col min="6146" max="6150" width="6.44140625" style="2" customWidth="1"/>
    <col min="6151" max="6151" width="9.77734375" style="2" customWidth="1"/>
    <col min="6152" max="6152" width="8.44140625" style="2" customWidth="1"/>
    <col min="6153" max="6154" width="9.44140625" style="2" customWidth="1"/>
    <col min="6155" max="6155" width="8.44140625" style="2" customWidth="1"/>
    <col min="6156" max="6156" width="2.44140625" style="2" customWidth="1"/>
    <col min="6157" max="6157" width="4.77734375" style="2" customWidth="1"/>
    <col min="6158" max="6158" width="6.44140625" style="2" customWidth="1"/>
    <col min="6159" max="6160" width="4" style="2" customWidth="1"/>
    <col min="6161" max="6161" width="5.44140625" style="2" bestFit="1" customWidth="1"/>
    <col min="6162" max="6162" width="4" style="2" customWidth="1"/>
    <col min="6163" max="6163" width="4.77734375" style="2" bestFit="1" customWidth="1"/>
    <col min="6164" max="6164" width="6.77734375" style="2" customWidth="1"/>
    <col min="6165" max="6165" width="8.77734375" style="2"/>
    <col min="6166" max="6176" width="3.44140625" style="2" customWidth="1"/>
    <col min="6177" max="6177" width="5" style="2" customWidth="1"/>
    <col min="6178" max="6181" width="5.44140625" style="2" bestFit="1" customWidth="1"/>
    <col min="6182" max="6183" width="5.109375" style="2" bestFit="1" customWidth="1"/>
    <col min="6184" max="6186" width="5.44140625" style="2" bestFit="1" customWidth="1"/>
    <col min="6187" max="6189" width="5.44140625" style="2" customWidth="1"/>
    <col min="6190" max="6190" width="2.109375" style="2" customWidth="1"/>
    <col min="6191" max="6191" width="3" style="2" bestFit="1" customWidth="1"/>
    <col min="6192" max="6200" width="5.44140625" style="2" bestFit="1" customWidth="1"/>
    <col min="6201" max="6202" width="5.44140625" style="2" customWidth="1"/>
    <col min="6203" max="6203" width="2.77734375" style="2" customWidth="1"/>
    <col min="6204" max="6213" width="3" style="2" bestFit="1" customWidth="1"/>
    <col min="6214" max="6214" width="4" style="2" customWidth="1"/>
    <col min="6215" max="6215" width="4.44140625" style="2" customWidth="1"/>
    <col min="6216" max="6396" width="8.77734375" style="2"/>
    <col min="6397" max="6397" width="4.44140625" style="2" bestFit="1" customWidth="1"/>
    <col min="6398" max="6398" width="22.44140625" style="2" customWidth="1"/>
    <col min="6399" max="6399" width="5.109375" style="2" customWidth="1"/>
    <col min="6400" max="6400" width="6.44140625" style="2" customWidth="1"/>
    <col min="6401" max="6401" width="8.44140625" style="2" customWidth="1"/>
    <col min="6402" max="6406" width="6.44140625" style="2" customWidth="1"/>
    <col min="6407" max="6407" width="9.77734375" style="2" customWidth="1"/>
    <col min="6408" max="6408" width="8.44140625" style="2" customWidth="1"/>
    <col min="6409" max="6410" width="9.44140625" style="2" customWidth="1"/>
    <col min="6411" max="6411" width="8.44140625" style="2" customWidth="1"/>
    <col min="6412" max="6412" width="2.44140625" style="2" customWidth="1"/>
    <col min="6413" max="6413" width="4.77734375" style="2" customWidth="1"/>
    <col min="6414" max="6414" width="6.44140625" style="2" customWidth="1"/>
    <col min="6415" max="6416" width="4" style="2" customWidth="1"/>
    <col min="6417" max="6417" width="5.44140625" style="2" bestFit="1" customWidth="1"/>
    <col min="6418" max="6418" width="4" style="2" customWidth="1"/>
    <col min="6419" max="6419" width="4.77734375" style="2" bestFit="1" customWidth="1"/>
    <col min="6420" max="6420" width="6.77734375" style="2" customWidth="1"/>
    <col min="6421" max="6421" width="8.77734375" style="2"/>
    <col min="6422" max="6432" width="3.44140625" style="2" customWidth="1"/>
    <col min="6433" max="6433" width="5" style="2" customWidth="1"/>
    <col min="6434" max="6437" width="5.44140625" style="2" bestFit="1" customWidth="1"/>
    <col min="6438" max="6439" width="5.109375" style="2" bestFit="1" customWidth="1"/>
    <col min="6440" max="6442" width="5.44140625" style="2" bestFit="1" customWidth="1"/>
    <col min="6443" max="6445" width="5.44140625" style="2" customWidth="1"/>
    <col min="6446" max="6446" width="2.109375" style="2" customWidth="1"/>
    <col min="6447" max="6447" width="3" style="2" bestFit="1" customWidth="1"/>
    <col min="6448" max="6456" width="5.44140625" style="2" bestFit="1" customWidth="1"/>
    <col min="6457" max="6458" width="5.44140625" style="2" customWidth="1"/>
    <col min="6459" max="6459" width="2.77734375" style="2" customWidth="1"/>
    <col min="6460" max="6469" width="3" style="2" bestFit="1" customWidth="1"/>
    <col min="6470" max="6470" width="4" style="2" customWidth="1"/>
    <col min="6471" max="6471" width="4.44140625" style="2" customWidth="1"/>
    <col min="6472" max="6652" width="8.77734375" style="2"/>
    <col min="6653" max="6653" width="4.44140625" style="2" bestFit="1" customWidth="1"/>
    <col min="6654" max="6654" width="22.44140625" style="2" customWidth="1"/>
    <col min="6655" max="6655" width="5.109375" style="2" customWidth="1"/>
    <col min="6656" max="6656" width="6.44140625" style="2" customWidth="1"/>
    <col min="6657" max="6657" width="8.44140625" style="2" customWidth="1"/>
    <col min="6658" max="6662" width="6.44140625" style="2" customWidth="1"/>
    <col min="6663" max="6663" width="9.77734375" style="2" customWidth="1"/>
    <col min="6664" max="6664" width="8.44140625" style="2" customWidth="1"/>
    <col min="6665" max="6666" width="9.44140625" style="2" customWidth="1"/>
    <col min="6667" max="6667" width="8.44140625" style="2" customWidth="1"/>
    <col min="6668" max="6668" width="2.44140625" style="2" customWidth="1"/>
    <col min="6669" max="6669" width="4.77734375" style="2" customWidth="1"/>
    <col min="6670" max="6670" width="6.44140625" style="2" customWidth="1"/>
    <col min="6671" max="6672" width="4" style="2" customWidth="1"/>
    <col min="6673" max="6673" width="5.44140625" style="2" bestFit="1" customWidth="1"/>
    <col min="6674" max="6674" width="4" style="2" customWidth="1"/>
    <col min="6675" max="6675" width="4.77734375" style="2" bestFit="1" customWidth="1"/>
    <col min="6676" max="6676" width="6.77734375" style="2" customWidth="1"/>
    <col min="6677" max="6677" width="8.77734375" style="2"/>
    <col min="6678" max="6688" width="3.44140625" style="2" customWidth="1"/>
    <col min="6689" max="6689" width="5" style="2" customWidth="1"/>
    <col min="6690" max="6693" width="5.44140625" style="2" bestFit="1" customWidth="1"/>
    <col min="6694" max="6695" width="5.109375" style="2" bestFit="1" customWidth="1"/>
    <col min="6696" max="6698" width="5.44140625" style="2" bestFit="1" customWidth="1"/>
    <col min="6699" max="6701" width="5.44140625" style="2" customWidth="1"/>
    <col min="6702" max="6702" width="2.109375" style="2" customWidth="1"/>
    <col min="6703" max="6703" width="3" style="2" bestFit="1" customWidth="1"/>
    <col min="6704" max="6712" width="5.44140625" style="2" bestFit="1" customWidth="1"/>
    <col min="6713" max="6714" width="5.44140625" style="2" customWidth="1"/>
    <col min="6715" max="6715" width="2.77734375" style="2" customWidth="1"/>
    <col min="6716" max="6725" width="3" style="2" bestFit="1" customWidth="1"/>
    <col min="6726" max="6726" width="4" style="2" customWidth="1"/>
    <col min="6727" max="6727" width="4.44140625" style="2" customWidth="1"/>
    <col min="6728" max="6908" width="8.77734375" style="2"/>
    <col min="6909" max="6909" width="4.44140625" style="2" bestFit="1" customWidth="1"/>
    <col min="6910" max="6910" width="22.44140625" style="2" customWidth="1"/>
    <col min="6911" max="6911" width="5.109375" style="2" customWidth="1"/>
    <col min="6912" max="6912" width="6.44140625" style="2" customWidth="1"/>
    <col min="6913" max="6913" width="8.44140625" style="2" customWidth="1"/>
    <col min="6914" max="6918" width="6.44140625" style="2" customWidth="1"/>
    <col min="6919" max="6919" width="9.77734375" style="2" customWidth="1"/>
    <col min="6920" max="6920" width="8.44140625" style="2" customWidth="1"/>
    <col min="6921" max="6922" width="9.44140625" style="2" customWidth="1"/>
    <col min="6923" max="6923" width="8.44140625" style="2" customWidth="1"/>
    <col min="6924" max="6924" width="2.44140625" style="2" customWidth="1"/>
    <col min="6925" max="6925" width="4.77734375" style="2" customWidth="1"/>
    <col min="6926" max="6926" width="6.44140625" style="2" customWidth="1"/>
    <col min="6927" max="6928" width="4" style="2" customWidth="1"/>
    <col min="6929" max="6929" width="5.44140625" style="2" bestFit="1" customWidth="1"/>
    <col min="6930" max="6930" width="4" style="2" customWidth="1"/>
    <col min="6931" max="6931" width="4.77734375" style="2" bestFit="1" customWidth="1"/>
    <col min="6932" max="6932" width="6.77734375" style="2" customWidth="1"/>
    <col min="6933" max="6933" width="8.77734375" style="2"/>
    <col min="6934" max="6944" width="3.44140625" style="2" customWidth="1"/>
    <col min="6945" max="6945" width="5" style="2" customWidth="1"/>
    <col min="6946" max="6949" width="5.44140625" style="2" bestFit="1" customWidth="1"/>
    <col min="6950" max="6951" width="5.109375" style="2" bestFit="1" customWidth="1"/>
    <col min="6952" max="6954" width="5.44140625" style="2" bestFit="1" customWidth="1"/>
    <col min="6955" max="6957" width="5.44140625" style="2" customWidth="1"/>
    <col min="6958" max="6958" width="2.109375" style="2" customWidth="1"/>
    <col min="6959" max="6959" width="3" style="2" bestFit="1" customWidth="1"/>
    <col min="6960" max="6968" width="5.44140625" style="2" bestFit="1" customWidth="1"/>
    <col min="6969" max="6970" width="5.44140625" style="2" customWidth="1"/>
    <col min="6971" max="6971" width="2.77734375" style="2" customWidth="1"/>
    <col min="6972" max="6981" width="3" style="2" bestFit="1" customWidth="1"/>
    <col min="6982" max="6982" width="4" style="2" customWidth="1"/>
    <col min="6983" max="6983" width="4.44140625" style="2" customWidth="1"/>
    <col min="6984" max="7164" width="8.77734375" style="2"/>
    <col min="7165" max="7165" width="4.44140625" style="2" bestFit="1" customWidth="1"/>
    <col min="7166" max="7166" width="22.44140625" style="2" customWidth="1"/>
    <col min="7167" max="7167" width="5.109375" style="2" customWidth="1"/>
    <col min="7168" max="7168" width="6.44140625" style="2" customWidth="1"/>
    <col min="7169" max="7169" width="8.44140625" style="2" customWidth="1"/>
    <col min="7170" max="7174" width="6.44140625" style="2" customWidth="1"/>
    <col min="7175" max="7175" width="9.77734375" style="2" customWidth="1"/>
    <col min="7176" max="7176" width="8.44140625" style="2" customWidth="1"/>
    <col min="7177" max="7178" width="9.44140625" style="2" customWidth="1"/>
    <col min="7179" max="7179" width="8.44140625" style="2" customWidth="1"/>
    <col min="7180" max="7180" width="2.44140625" style="2" customWidth="1"/>
    <col min="7181" max="7181" width="4.77734375" style="2" customWidth="1"/>
    <col min="7182" max="7182" width="6.44140625" style="2" customWidth="1"/>
    <col min="7183" max="7184" width="4" style="2" customWidth="1"/>
    <col min="7185" max="7185" width="5.44140625" style="2" bestFit="1" customWidth="1"/>
    <col min="7186" max="7186" width="4" style="2" customWidth="1"/>
    <col min="7187" max="7187" width="4.77734375" style="2" bestFit="1" customWidth="1"/>
    <col min="7188" max="7188" width="6.77734375" style="2" customWidth="1"/>
    <col min="7189" max="7189" width="8.77734375" style="2"/>
    <col min="7190" max="7200" width="3.44140625" style="2" customWidth="1"/>
    <col min="7201" max="7201" width="5" style="2" customWidth="1"/>
    <col min="7202" max="7205" width="5.44140625" style="2" bestFit="1" customWidth="1"/>
    <col min="7206" max="7207" width="5.109375" style="2" bestFit="1" customWidth="1"/>
    <col min="7208" max="7210" width="5.44140625" style="2" bestFit="1" customWidth="1"/>
    <col min="7211" max="7213" width="5.44140625" style="2" customWidth="1"/>
    <col min="7214" max="7214" width="2.109375" style="2" customWidth="1"/>
    <col min="7215" max="7215" width="3" style="2" bestFit="1" customWidth="1"/>
    <col min="7216" max="7224" width="5.44140625" style="2" bestFit="1" customWidth="1"/>
    <col min="7225" max="7226" width="5.44140625" style="2" customWidth="1"/>
    <col min="7227" max="7227" width="2.77734375" style="2" customWidth="1"/>
    <col min="7228" max="7237" width="3" style="2" bestFit="1" customWidth="1"/>
    <col min="7238" max="7238" width="4" style="2" customWidth="1"/>
    <col min="7239" max="7239" width="4.44140625" style="2" customWidth="1"/>
    <col min="7240" max="7420" width="8.77734375" style="2"/>
    <col min="7421" max="7421" width="4.44140625" style="2" bestFit="1" customWidth="1"/>
    <col min="7422" max="7422" width="22.44140625" style="2" customWidth="1"/>
    <col min="7423" max="7423" width="5.109375" style="2" customWidth="1"/>
    <col min="7424" max="7424" width="6.44140625" style="2" customWidth="1"/>
    <col min="7425" max="7425" width="8.44140625" style="2" customWidth="1"/>
    <col min="7426" max="7430" width="6.44140625" style="2" customWidth="1"/>
    <col min="7431" max="7431" width="9.77734375" style="2" customWidth="1"/>
    <col min="7432" max="7432" width="8.44140625" style="2" customWidth="1"/>
    <col min="7433" max="7434" width="9.44140625" style="2" customWidth="1"/>
    <col min="7435" max="7435" width="8.44140625" style="2" customWidth="1"/>
    <col min="7436" max="7436" width="2.44140625" style="2" customWidth="1"/>
    <col min="7437" max="7437" width="4.77734375" style="2" customWidth="1"/>
    <col min="7438" max="7438" width="6.44140625" style="2" customWidth="1"/>
    <col min="7439" max="7440" width="4" style="2" customWidth="1"/>
    <col min="7441" max="7441" width="5.44140625" style="2" bestFit="1" customWidth="1"/>
    <col min="7442" max="7442" width="4" style="2" customWidth="1"/>
    <col min="7443" max="7443" width="4.77734375" style="2" bestFit="1" customWidth="1"/>
    <col min="7444" max="7444" width="6.77734375" style="2" customWidth="1"/>
    <col min="7445" max="7445" width="8.77734375" style="2"/>
    <col min="7446" max="7456" width="3.44140625" style="2" customWidth="1"/>
    <col min="7457" max="7457" width="5" style="2" customWidth="1"/>
    <col min="7458" max="7461" width="5.44140625" style="2" bestFit="1" customWidth="1"/>
    <col min="7462" max="7463" width="5.109375" style="2" bestFit="1" customWidth="1"/>
    <col min="7464" max="7466" width="5.44140625" style="2" bestFit="1" customWidth="1"/>
    <col min="7467" max="7469" width="5.44140625" style="2" customWidth="1"/>
    <col min="7470" max="7470" width="2.109375" style="2" customWidth="1"/>
    <col min="7471" max="7471" width="3" style="2" bestFit="1" customWidth="1"/>
    <col min="7472" max="7480" width="5.44140625" style="2" bestFit="1" customWidth="1"/>
    <col min="7481" max="7482" width="5.44140625" style="2" customWidth="1"/>
    <col min="7483" max="7483" width="2.77734375" style="2" customWidth="1"/>
    <col min="7484" max="7493" width="3" style="2" bestFit="1" customWidth="1"/>
    <col min="7494" max="7494" width="4" style="2" customWidth="1"/>
    <col min="7495" max="7495" width="4.44140625" style="2" customWidth="1"/>
    <col min="7496" max="7676" width="8.77734375" style="2"/>
    <col min="7677" max="7677" width="4.44140625" style="2" bestFit="1" customWidth="1"/>
    <col min="7678" max="7678" width="22.44140625" style="2" customWidth="1"/>
    <col min="7679" max="7679" width="5.109375" style="2" customWidth="1"/>
    <col min="7680" max="7680" width="6.44140625" style="2" customWidth="1"/>
    <col min="7681" max="7681" width="8.44140625" style="2" customWidth="1"/>
    <col min="7682" max="7686" width="6.44140625" style="2" customWidth="1"/>
    <col min="7687" max="7687" width="9.77734375" style="2" customWidth="1"/>
    <col min="7688" max="7688" width="8.44140625" style="2" customWidth="1"/>
    <col min="7689" max="7690" width="9.44140625" style="2" customWidth="1"/>
    <col min="7691" max="7691" width="8.44140625" style="2" customWidth="1"/>
    <col min="7692" max="7692" width="2.44140625" style="2" customWidth="1"/>
    <col min="7693" max="7693" width="4.77734375" style="2" customWidth="1"/>
    <col min="7694" max="7694" width="6.44140625" style="2" customWidth="1"/>
    <col min="7695" max="7696" width="4" style="2" customWidth="1"/>
    <col min="7697" max="7697" width="5.44140625" style="2" bestFit="1" customWidth="1"/>
    <col min="7698" max="7698" width="4" style="2" customWidth="1"/>
    <col min="7699" max="7699" width="4.77734375" style="2" bestFit="1" customWidth="1"/>
    <col min="7700" max="7700" width="6.77734375" style="2" customWidth="1"/>
    <col min="7701" max="7701" width="8.77734375" style="2"/>
    <col min="7702" max="7712" width="3.44140625" style="2" customWidth="1"/>
    <col min="7713" max="7713" width="5" style="2" customWidth="1"/>
    <col min="7714" max="7717" width="5.44140625" style="2" bestFit="1" customWidth="1"/>
    <col min="7718" max="7719" width="5.109375" style="2" bestFit="1" customWidth="1"/>
    <col min="7720" max="7722" width="5.44140625" style="2" bestFit="1" customWidth="1"/>
    <col min="7723" max="7725" width="5.44140625" style="2" customWidth="1"/>
    <col min="7726" max="7726" width="2.109375" style="2" customWidth="1"/>
    <col min="7727" max="7727" width="3" style="2" bestFit="1" customWidth="1"/>
    <col min="7728" max="7736" width="5.44140625" style="2" bestFit="1" customWidth="1"/>
    <col min="7737" max="7738" width="5.44140625" style="2" customWidth="1"/>
    <col min="7739" max="7739" width="2.77734375" style="2" customWidth="1"/>
    <col min="7740" max="7749" width="3" style="2" bestFit="1" customWidth="1"/>
    <col min="7750" max="7750" width="4" style="2" customWidth="1"/>
    <col min="7751" max="7751" width="4.44140625" style="2" customWidth="1"/>
    <col min="7752" max="7932" width="8.77734375" style="2"/>
    <col min="7933" max="7933" width="4.44140625" style="2" bestFit="1" customWidth="1"/>
    <col min="7934" max="7934" width="22.44140625" style="2" customWidth="1"/>
    <col min="7935" max="7935" width="5.109375" style="2" customWidth="1"/>
    <col min="7936" max="7936" width="6.44140625" style="2" customWidth="1"/>
    <col min="7937" max="7937" width="8.44140625" style="2" customWidth="1"/>
    <col min="7938" max="7942" width="6.44140625" style="2" customWidth="1"/>
    <col min="7943" max="7943" width="9.77734375" style="2" customWidth="1"/>
    <col min="7944" max="7944" width="8.44140625" style="2" customWidth="1"/>
    <col min="7945" max="7946" width="9.44140625" style="2" customWidth="1"/>
    <col min="7947" max="7947" width="8.44140625" style="2" customWidth="1"/>
    <col min="7948" max="7948" width="2.44140625" style="2" customWidth="1"/>
    <col min="7949" max="7949" width="4.77734375" style="2" customWidth="1"/>
    <col min="7950" max="7950" width="6.44140625" style="2" customWidth="1"/>
    <col min="7951" max="7952" width="4" style="2" customWidth="1"/>
    <col min="7953" max="7953" width="5.44140625" style="2" bestFit="1" customWidth="1"/>
    <col min="7954" max="7954" width="4" style="2" customWidth="1"/>
    <col min="7955" max="7955" width="4.77734375" style="2" bestFit="1" customWidth="1"/>
    <col min="7956" max="7956" width="6.77734375" style="2" customWidth="1"/>
    <col min="7957" max="7957" width="8.77734375" style="2"/>
    <col min="7958" max="7968" width="3.44140625" style="2" customWidth="1"/>
    <col min="7969" max="7969" width="5" style="2" customWidth="1"/>
    <col min="7970" max="7973" width="5.44140625" style="2" bestFit="1" customWidth="1"/>
    <col min="7974" max="7975" width="5.109375" style="2" bestFit="1" customWidth="1"/>
    <col min="7976" max="7978" width="5.44140625" style="2" bestFit="1" customWidth="1"/>
    <col min="7979" max="7981" width="5.44140625" style="2" customWidth="1"/>
    <col min="7982" max="7982" width="2.109375" style="2" customWidth="1"/>
    <col min="7983" max="7983" width="3" style="2" bestFit="1" customWidth="1"/>
    <col min="7984" max="7992" width="5.44140625" style="2" bestFit="1" customWidth="1"/>
    <col min="7993" max="7994" width="5.44140625" style="2" customWidth="1"/>
    <col min="7995" max="7995" width="2.77734375" style="2" customWidth="1"/>
    <col min="7996" max="8005" width="3" style="2" bestFit="1" customWidth="1"/>
    <col min="8006" max="8006" width="4" style="2" customWidth="1"/>
    <col min="8007" max="8007" width="4.44140625" style="2" customWidth="1"/>
    <col min="8008" max="8188" width="8.77734375" style="2"/>
    <col min="8189" max="8189" width="4.44140625" style="2" bestFit="1" customWidth="1"/>
    <col min="8190" max="8190" width="22.44140625" style="2" customWidth="1"/>
    <col min="8191" max="8191" width="5.109375" style="2" customWidth="1"/>
    <col min="8192" max="8192" width="6.44140625" style="2" customWidth="1"/>
    <col min="8193" max="8193" width="8.44140625" style="2" customWidth="1"/>
    <col min="8194" max="8198" width="6.44140625" style="2" customWidth="1"/>
    <col min="8199" max="8199" width="9.77734375" style="2" customWidth="1"/>
    <col min="8200" max="8200" width="8.44140625" style="2" customWidth="1"/>
    <col min="8201" max="8202" width="9.44140625" style="2" customWidth="1"/>
    <col min="8203" max="8203" width="8.44140625" style="2" customWidth="1"/>
    <col min="8204" max="8204" width="2.44140625" style="2" customWidth="1"/>
    <col min="8205" max="8205" width="4.77734375" style="2" customWidth="1"/>
    <col min="8206" max="8206" width="6.44140625" style="2" customWidth="1"/>
    <col min="8207" max="8208" width="4" style="2" customWidth="1"/>
    <col min="8209" max="8209" width="5.44140625" style="2" bestFit="1" customWidth="1"/>
    <col min="8210" max="8210" width="4" style="2" customWidth="1"/>
    <col min="8211" max="8211" width="4.77734375" style="2" bestFit="1" customWidth="1"/>
    <col min="8212" max="8212" width="6.77734375" style="2" customWidth="1"/>
    <col min="8213" max="8213" width="8.77734375" style="2"/>
    <col min="8214" max="8224" width="3.44140625" style="2" customWidth="1"/>
    <col min="8225" max="8225" width="5" style="2" customWidth="1"/>
    <col min="8226" max="8229" width="5.44140625" style="2" bestFit="1" customWidth="1"/>
    <col min="8230" max="8231" width="5.109375" style="2" bestFit="1" customWidth="1"/>
    <col min="8232" max="8234" width="5.44140625" style="2" bestFit="1" customWidth="1"/>
    <col min="8235" max="8237" width="5.44140625" style="2" customWidth="1"/>
    <col min="8238" max="8238" width="2.109375" style="2" customWidth="1"/>
    <col min="8239" max="8239" width="3" style="2" bestFit="1" customWidth="1"/>
    <col min="8240" max="8248" width="5.44140625" style="2" bestFit="1" customWidth="1"/>
    <col min="8249" max="8250" width="5.44140625" style="2" customWidth="1"/>
    <col min="8251" max="8251" width="2.77734375" style="2" customWidth="1"/>
    <col min="8252" max="8261" width="3" style="2" bestFit="1" customWidth="1"/>
    <col min="8262" max="8262" width="4" style="2" customWidth="1"/>
    <col min="8263" max="8263" width="4.44140625" style="2" customWidth="1"/>
    <col min="8264" max="8444" width="8.77734375" style="2"/>
    <col min="8445" max="8445" width="4.44140625" style="2" bestFit="1" customWidth="1"/>
    <col min="8446" max="8446" width="22.44140625" style="2" customWidth="1"/>
    <col min="8447" max="8447" width="5.109375" style="2" customWidth="1"/>
    <col min="8448" max="8448" width="6.44140625" style="2" customWidth="1"/>
    <col min="8449" max="8449" width="8.44140625" style="2" customWidth="1"/>
    <col min="8450" max="8454" width="6.44140625" style="2" customWidth="1"/>
    <col min="8455" max="8455" width="9.77734375" style="2" customWidth="1"/>
    <col min="8456" max="8456" width="8.44140625" style="2" customWidth="1"/>
    <col min="8457" max="8458" width="9.44140625" style="2" customWidth="1"/>
    <col min="8459" max="8459" width="8.44140625" style="2" customWidth="1"/>
    <col min="8460" max="8460" width="2.44140625" style="2" customWidth="1"/>
    <col min="8461" max="8461" width="4.77734375" style="2" customWidth="1"/>
    <col min="8462" max="8462" width="6.44140625" style="2" customWidth="1"/>
    <col min="8463" max="8464" width="4" style="2" customWidth="1"/>
    <col min="8465" max="8465" width="5.44140625" style="2" bestFit="1" customWidth="1"/>
    <col min="8466" max="8466" width="4" style="2" customWidth="1"/>
    <col min="8467" max="8467" width="4.77734375" style="2" bestFit="1" customWidth="1"/>
    <col min="8468" max="8468" width="6.77734375" style="2" customWidth="1"/>
    <col min="8469" max="8469" width="8.77734375" style="2"/>
    <col min="8470" max="8480" width="3.44140625" style="2" customWidth="1"/>
    <col min="8481" max="8481" width="5" style="2" customWidth="1"/>
    <col min="8482" max="8485" width="5.44140625" style="2" bestFit="1" customWidth="1"/>
    <col min="8486" max="8487" width="5.109375" style="2" bestFit="1" customWidth="1"/>
    <col min="8488" max="8490" width="5.44140625" style="2" bestFit="1" customWidth="1"/>
    <col min="8491" max="8493" width="5.44140625" style="2" customWidth="1"/>
    <col min="8494" max="8494" width="2.109375" style="2" customWidth="1"/>
    <col min="8495" max="8495" width="3" style="2" bestFit="1" customWidth="1"/>
    <col min="8496" max="8504" width="5.44140625" style="2" bestFit="1" customWidth="1"/>
    <col min="8505" max="8506" width="5.44140625" style="2" customWidth="1"/>
    <col min="8507" max="8507" width="2.77734375" style="2" customWidth="1"/>
    <col min="8508" max="8517" width="3" style="2" bestFit="1" customWidth="1"/>
    <col min="8518" max="8518" width="4" style="2" customWidth="1"/>
    <col min="8519" max="8519" width="4.44140625" style="2" customWidth="1"/>
    <col min="8520" max="8700" width="8.77734375" style="2"/>
    <col min="8701" max="8701" width="4.44140625" style="2" bestFit="1" customWidth="1"/>
    <col min="8702" max="8702" width="22.44140625" style="2" customWidth="1"/>
    <col min="8703" max="8703" width="5.109375" style="2" customWidth="1"/>
    <col min="8704" max="8704" width="6.44140625" style="2" customWidth="1"/>
    <col min="8705" max="8705" width="8.44140625" style="2" customWidth="1"/>
    <col min="8706" max="8710" width="6.44140625" style="2" customWidth="1"/>
    <col min="8711" max="8711" width="9.77734375" style="2" customWidth="1"/>
    <col min="8712" max="8712" width="8.44140625" style="2" customWidth="1"/>
    <col min="8713" max="8714" width="9.44140625" style="2" customWidth="1"/>
    <col min="8715" max="8715" width="8.44140625" style="2" customWidth="1"/>
    <col min="8716" max="8716" width="2.44140625" style="2" customWidth="1"/>
    <col min="8717" max="8717" width="4.77734375" style="2" customWidth="1"/>
    <col min="8718" max="8718" width="6.44140625" style="2" customWidth="1"/>
    <col min="8719" max="8720" width="4" style="2" customWidth="1"/>
    <col min="8721" max="8721" width="5.44140625" style="2" bestFit="1" customWidth="1"/>
    <col min="8722" max="8722" width="4" style="2" customWidth="1"/>
    <col min="8723" max="8723" width="4.77734375" style="2" bestFit="1" customWidth="1"/>
    <col min="8724" max="8724" width="6.77734375" style="2" customWidth="1"/>
    <col min="8725" max="8725" width="8.77734375" style="2"/>
    <col min="8726" max="8736" width="3.44140625" style="2" customWidth="1"/>
    <col min="8737" max="8737" width="5" style="2" customWidth="1"/>
    <col min="8738" max="8741" width="5.44140625" style="2" bestFit="1" customWidth="1"/>
    <col min="8742" max="8743" width="5.109375" style="2" bestFit="1" customWidth="1"/>
    <col min="8744" max="8746" width="5.44140625" style="2" bestFit="1" customWidth="1"/>
    <col min="8747" max="8749" width="5.44140625" style="2" customWidth="1"/>
    <col min="8750" max="8750" width="2.109375" style="2" customWidth="1"/>
    <col min="8751" max="8751" width="3" style="2" bestFit="1" customWidth="1"/>
    <col min="8752" max="8760" width="5.44140625" style="2" bestFit="1" customWidth="1"/>
    <col min="8761" max="8762" width="5.44140625" style="2" customWidth="1"/>
    <col min="8763" max="8763" width="2.77734375" style="2" customWidth="1"/>
    <col min="8764" max="8773" width="3" style="2" bestFit="1" customWidth="1"/>
    <col min="8774" max="8774" width="4" style="2" customWidth="1"/>
    <col min="8775" max="8775" width="4.44140625" style="2" customWidth="1"/>
    <col min="8776" max="8956" width="8.77734375" style="2"/>
    <col min="8957" max="8957" width="4.44140625" style="2" bestFit="1" customWidth="1"/>
    <col min="8958" max="8958" width="22.44140625" style="2" customWidth="1"/>
    <col min="8959" max="8959" width="5.109375" style="2" customWidth="1"/>
    <col min="8960" max="8960" width="6.44140625" style="2" customWidth="1"/>
    <col min="8961" max="8961" width="8.44140625" style="2" customWidth="1"/>
    <col min="8962" max="8966" width="6.44140625" style="2" customWidth="1"/>
    <col min="8967" max="8967" width="9.77734375" style="2" customWidth="1"/>
    <col min="8968" max="8968" width="8.44140625" style="2" customWidth="1"/>
    <col min="8969" max="8970" width="9.44140625" style="2" customWidth="1"/>
    <col min="8971" max="8971" width="8.44140625" style="2" customWidth="1"/>
    <col min="8972" max="8972" width="2.44140625" style="2" customWidth="1"/>
    <col min="8973" max="8973" width="4.77734375" style="2" customWidth="1"/>
    <col min="8974" max="8974" width="6.44140625" style="2" customWidth="1"/>
    <col min="8975" max="8976" width="4" style="2" customWidth="1"/>
    <col min="8977" max="8977" width="5.44140625" style="2" bestFit="1" customWidth="1"/>
    <col min="8978" max="8978" width="4" style="2" customWidth="1"/>
    <col min="8979" max="8979" width="4.77734375" style="2" bestFit="1" customWidth="1"/>
    <col min="8980" max="8980" width="6.77734375" style="2" customWidth="1"/>
    <col min="8981" max="8981" width="8.77734375" style="2"/>
    <col min="8982" max="8992" width="3.44140625" style="2" customWidth="1"/>
    <col min="8993" max="8993" width="5" style="2" customWidth="1"/>
    <col min="8994" max="8997" width="5.44140625" style="2" bestFit="1" customWidth="1"/>
    <col min="8998" max="8999" width="5.109375" style="2" bestFit="1" customWidth="1"/>
    <col min="9000" max="9002" width="5.44140625" style="2" bestFit="1" customWidth="1"/>
    <col min="9003" max="9005" width="5.44140625" style="2" customWidth="1"/>
    <col min="9006" max="9006" width="2.109375" style="2" customWidth="1"/>
    <col min="9007" max="9007" width="3" style="2" bestFit="1" customWidth="1"/>
    <col min="9008" max="9016" width="5.44140625" style="2" bestFit="1" customWidth="1"/>
    <col min="9017" max="9018" width="5.44140625" style="2" customWidth="1"/>
    <col min="9019" max="9019" width="2.77734375" style="2" customWidth="1"/>
    <col min="9020" max="9029" width="3" style="2" bestFit="1" customWidth="1"/>
    <col min="9030" max="9030" width="4" style="2" customWidth="1"/>
    <col min="9031" max="9031" width="4.44140625" style="2" customWidth="1"/>
    <col min="9032" max="9212" width="8.77734375" style="2"/>
    <col min="9213" max="9213" width="4.44140625" style="2" bestFit="1" customWidth="1"/>
    <col min="9214" max="9214" width="22.44140625" style="2" customWidth="1"/>
    <col min="9215" max="9215" width="5.109375" style="2" customWidth="1"/>
    <col min="9216" max="9216" width="6.44140625" style="2" customWidth="1"/>
    <col min="9217" max="9217" width="8.44140625" style="2" customWidth="1"/>
    <col min="9218" max="9222" width="6.44140625" style="2" customWidth="1"/>
    <col min="9223" max="9223" width="9.77734375" style="2" customWidth="1"/>
    <col min="9224" max="9224" width="8.44140625" style="2" customWidth="1"/>
    <col min="9225" max="9226" width="9.44140625" style="2" customWidth="1"/>
    <col min="9227" max="9227" width="8.44140625" style="2" customWidth="1"/>
    <col min="9228" max="9228" width="2.44140625" style="2" customWidth="1"/>
    <col min="9229" max="9229" width="4.77734375" style="2" customWidth="1"/>
    <col min="9230" max="9230" width="6.44140625" style="2" customWidth="1"/>
    <col min="9231" max="9232" width="4" style="2" customWidth="1"/>
    <col min="9233" max="9233" width="5.44140625" style="2" bestFit="1" customWidth="1"/>
    <col min="9234" max="9234" width="4" style="2" customWidth="1"/>
    <col min="9235" max="9235" width="4.77734375" style="2" bestFit="1" customWidth="1"/>
    <col min="9236" max="9236" width="6.77734375" style="2" customWidth="1"/>
    <col min="9237" max="9237" width="8.77734375" style="2"/>
    <col min="9238" max="9248" width="3.44140625" style="2" customWidth="1"/>
    <col min="9249" max="9249" width="5" style="2" customWidth="1"/>
    <col min="9250" max="9253" width="5.44140625" style="2" bestFit="1" customWidth="1"/>
    <col min="9254" max="9255" width="5.109375" style="2" bestFit="1" customWidth="1"/>
    <col min="9256" max="9258" width="5.44140625" style="2" bestFit="1" customWidth="1"/>
    <col min="9259" max="9261" width="5.44140625" style="2" customWidth="1"/>
    <col min="9262" max="9262" width="2.109375" style="2" customWidth="1"/>
    <col min="9263" max="9263" width="3" style="2" bestFit="1" customWidth="1"/>
    <col min="9264" max="9272" width="5.44140625" style="2" bestFit="1" customWidth="1"/>
    <col min="9273" max="9274" width="5.44140625" style="2" customWidth="1"/>
    <col min="9275" max="9275" width="2.77734375" style="2" customWidth="1"/>
    <col min="9276" max="9285" width="3" style="2" bestFit="1" customWidth="1"/>
    <col min="9286" max="9286" width="4" style="2" customWidth="1"/>
    <col min="9287" max="9287" width="4.44140625" style="2" customWidth="1"/>
    <col min="9288" max="9468" width="8.77734375" style="2"/>
    <col min="9469" max="9469" width="4.44140625" style="2" bestFit="1" customWidth="1"/>
    <col min="9470" max="9470" width="22.44140625" style="2" customWidth="1"/>
    <col min="9471" max="9471" width="5.109375" style="2" customWidth="1"/>
    <col min="9472" max="9472" width="6.44140625" style="2" customWidth="1"/>
    <col min="9473" max="9473" width="8.44140625" style="2" customWidth="1"/>
    <col min="9474" max="9478" width="6.44140625" style="2" customWidth="1"/>
    <col min="9479" max="9479" width="9.77734375" style="2" customWidth="1"/>
    <col min="9480" max="9480" width="8.44140625" style="2" customWidth="1"/>
    <col min="9481" max="9482" width="9.44140625" style="2" customWidth="1"/>
    <col min="9483" max="9483" width="8.44140625" style="2" customWidth="1"/>
    <col min="9484" max="9484" width="2.44140625" style="2" customWidth="1"/>
    <col min="9485" max="9485" width="4.77734375" style="2" customWidth="1"/>
    <col min="9486" max="9486" width="6.44140625" style="2" customWidth="1"/>
    <col min="9487" max="9488" width="4" style="2" customWidth="1"/>
    <col min="9489" max="9489" width="5.44140625" style="2" bestFit="1" customWidth="1"/>
    <col min="9490" max="9490" width="4" style="2" customWidth="1"/>
    <col min="9491" max="9491" width="4.77734375" style="2" bestFit="1" customWidth="1"/>
    <col min="9492" max="9492" width="6.77734375" style="2" customWidth="1"/>
    <col min="9493" max="9493" width="8.77734375" style="2"/>
    <col min="9494" max="9504" width="3.44140625" style="2" customWidth="1"/>
    <col min="9505" max="9505" width="5" style="2" customWidth="1"/>
    <col min="9506" max="9509" width="5.44140625" style="2" bestFit="1" customWidth="1"/>
    <col min="9510" max="9511" width="5.109375" style="2" bestFit="1" customWidth="1"/>
    <col min="9512" max="9514" width="5.44140625" style="2" bestFit="1" customWidth="1"/>
    <col min="9515" max="9517" width="5.44140625" style="2" customWidth="1"/>
    <col min="9518" max="9518" width="2.109375" style="2" customWidth="1"/>
    <col min="9519" max="9519" width="3" style="2" bestFit="1" customWidth="1"/>
    <col min="9520" max="9528" width="5.44140625" style="2" bestFit="1" customWidth="1"/>
    <col min="9529" max="9530" width="5.44140625" style="2" customWidth="1"/>
    <col min="9531" max="9531" width="2.77734375" style="2" customWidth="1"/>
    <col min="9532" max="9541" width="3" style="2" bestFit="1" customWidth="1"/>
    <col min="9542" max="9542" width="4" style="2" customWidth="1"/>
    <col min="9543" max="9543" width="4.44140625" style="2" customWidth="1"/>
    <col min="9544" max="9724" width="8.77734375" style="2"/>
    <col min="9725" max="9725" width="4.44140625" style="2" bestFit="1" customWidth="1"/>
    <col min="9726" max="9726" width="22.44140625" style="2" customWidth="1"/>
    <col min="9727" max="9727" width="5.109375" style="2" customWidth="1"/>
    <col min="9728" max="9728" width="6.44140625" style="2" customWidth="1"/>
    <col min="9729" max="9729" width="8.44140625" style="2" customWidth="1"/>
    <col min="9730" max="9734" width="6.44140625" style="2" customWidth="1"/>
    <col min="9735" max="9735" width="9.77734375" style="2" customWidth="1"/>
    <col min="9736" max="9736" width="8.44140625" style="2" customWidth="1"/>
    <col min="9737" max="9738" width="9.44140625" style="2" customWidth="1"/>
    <col min="9739" max="9739" width="8.44140625" style="2" customWidth="1"/>
    <col min="9740" max="9740" width="2.44140625" style="2" customWidth="1"/>
    <col min="9741" max="9741" width="4.77734375" style="2" customWidth="1"/>
    <col min="9742" max="9742" width="6.44140625" style="2" customWidth="1"/>
    <col min="9743" max="9744" width="4" style="2" customWidth="1"/>
    <col min="9745" max="9745" width="5.44140625" style="2" bestFit="1" customWidth="1"/>
    <col min="9746" max="9746" width="4" style="2" customWidth="1"/>
    <col min="9747" max="9747" width="4.77734375" style="2" bestFit="1" customWidth="1"/>
    <col min="9748" max="9748" width="6.77734375" style="2" customWidth="1"/>
    <col min="9749" max="9749" width="8.77734375" style="2"/>
    <col min="9750" max="9760" width="3.44140625" style="2" customWidth="1"/>
    <col min="9761" max="9761" width="5" style="2" customWidth="1"/>
    <col min="9762" max="9765" width="5.44140625" style="2" bestFit="1" customWidth="1"/>
    <col min="9766" max="9767" width="5.109375" style="2" bestFit="1" customWidth="1"/>
    <col min="9768" max="9770" width="5.44140625" style="2" bestFit="1" customWidth="1"/>
    <col min="9771" max="9773" width="5.44140625" style="2" customWidth="1"/>
    <col min="9774" max="9774" width="2.109375" style="2" customWidth="1"/>
    <col min="9775" max="9775" width="3" style="2" bestFit="1" customWidth="1"/>
    <col min="9776" max="9784" width="5.44140625" style="2" bestFit="1" customWidth="1"/>
    <col min="9785" max="9786" width="5.44140625" style="2" customWidth="1"/>
    <col min="9787" max="9787" width="2.77734375" style="2" customWidth="1"/>
    <col min="9788" max="9797" width="3" style="2" bestFit="1" customWidth="1"/>
    <col min="9798" max="9798" width="4" style="2" customWidth="1"/>
    <col min="9799" max="9799" width="4.44140625" style="2" customWidth="1"/>
    <col min="9800" max="9980" width="8.77734375" style="2"/>
    <col min="9981" max="9981" width="4.44140625" style="2" bestFit="1" customWidth="1"/>
    <col min="9982" max="9982" width="22.44140625" style="2" customWidth="1"/>
    <col min="9983" max="9983" width="5.109375" style="2" customWidth="1"/>
    <col min="9984" max="9984" width="6.44140625" style="2" customWidth="1"/>
    <col min="9985" max="9985" width="8.44140625" style="2" customWidth="1"/>
    <col min="9986" max="9990" width="6.44140625" style="2" customWidth="1"/>
    <col min="9991" max="9991" width="9.77734375" style="2" customWidth="1"/>
    <col min="9992" max="9992" width="8.44140625" style="2" customWidth="1"/>
    <col min="9993" max="9994" width="9.44140625" style="2" customWidth="1"/>
    <col min="9995" max="9995" width="8.44140625" style="2" customWidth="1"/>
    <col min="9996" max="9996" width="2.44140625" style="2" customWidth="1"/>
    <col min="9997" max="9997" width="4.77734375" style="2" customWidth="1"/>
    <col min="9998" max="9998" width="6.44140625" style="2" customWidth="1"/>
    <col min="9999" max="10000" width="4" style="2" customWidth="1"/>
    <col min="10001" max="10001" width="5.44140625" style="2" bestFit="1" customWidth="1"/>
    <col min="10002" max="10002" width="4" style="2" customWidth="1"/>
    <col min="10003" max="10003" width="4.77734375" style="2" bestFit="1" customWidth="1"/>
    <col min="10004" max="10004" width="6.77734375" style="2" customWidth="1"/>
    <col min="10005" max="10005" width="8.77734375" style="2"/>
    <col min="10006" max="10016" width="3.44140625" style="2" customWidth="1"/>
    <col min="10017" max="10017" width="5" style="2" customWidth="1"/>
    <col min="10018" max="10021" width="5.44140625" style="2" bestFit="1" customWidth="1"/>
    <col min="10022" max="10023" width="5.109375" style="2" bestFit="1" customWidth="1"/>
    <col min="10024" max="10026" width="5.44140625" style="2" bestFit="1" customWidth="1"/>
    <col min="10027" max="10029" width="5.44140625" style="2" customWidth="1"/>
    <col min="10030" max="10030" width="2.109375" style="2" customWidth="1"/>
    <col min="10031" max="10031" width="3" style="2" bestFit="1" customWidth="1"/>
    <col min="10032" max="10040" width="5.44140625" style="2" bestFit="1" customWidth="1"/>
    <col min="10041" max="10042" width="5.44140625" style="2" customWidth="1"/>
    <col min="10043" max="10043" width="2.77734375" style="2" customWidth="1"/>
    <col min="10044" max="10053" width="3" style="2" bestFit="1" customWidth="1"/>
    <col min="10054" max="10054" width="4" style="2" customWidth="1"/>
    <col min="10055" max="10055" width="4.44140625" style="2" customWidth="1"/>
    <col min="10056" max="10236" width="8.77734375" style="2"/>
    <col min="10237" max="10237" width="4.44140625" style="2" bestFit="1" customWidth="1"/>
    <col min="10238" max="10238" width="22.44140625" style="2" customWidth="1"/>
    <col min="10239" max="10239" width="5.109375" style="2" customWidth="1"/>
    <col min="10240" max="10240" width="6.44140625" style="2" customWidth="1"/>
    <col min="10241" max="10241" width="8.44140625" style="2" customWidth="1"/>
    <col min="10242" max="10246" width="6.44140625" style="2" customWidth="1"/>
    <col min="10247" max="10247" width="9.77734375" style="2" customWidth="1"/>
    <col min="10248" max="10248" width="8.44140625" style="2" customWidth="1"/>
    <col min="10249" max="10250" width="9.44140625" style="2" customWidth="1"/>
    <col min="10251" max="10251" width="8.44140625" style="2" customWidth="1"/>
    <col min="10252" max="10252" width="2.44140625" style="2" customWidth="1"/>
    <col min="10253" max="10253" width="4.77734375" style="2" customWidth="1"/>
    <col min="10254" max="10254" width="6.44140625" style="2" customWidth="1"/>
    <col min="10255" max="10256" width="4" style="2" customWidth="1"/>
    <col min="10257" max="10257" width="5.44140625" style="2" bestFit="1" customWidth="1"/>
    <col min="10258" max="10258" width="4" style="2" customWidth="1"/>
    <col min="10259" max="10259" width="4.77734375" style="2" bestFit="1" customWidth="1"/>
    <col min="10260" max="10260" width="6.77734375" style="2" customWidth="1"/>
    <col min="10261" max="10261" width="8.77734375" style="2"/>
    <col min="10262" max="10272" width="3.44140625" style="2" customWidth="1"/>
    <col min="10273" max="10273" width="5" style="2" customWidth="1"/>
    <col min="10274" max="10277" width="5.44140625" style="2" bestFit="1" customWidth="1"/>
    <col min="10278" max="10279" width="5.109375" style="2" bestFit="1" customWidth="1"/>
    <col min="10280" max="10282" width="5.44140625" style="2" bestFit="1" customWidth="1"/>
    <col min="10283" max="10285" width="5.44140625" style="2" customWidth="1"/>
    <col min="10286" max="10286" width="2.109375" style="2" customWidth="1"/>
    <col min="10287" max="10287" width="3" style="2" bestFit="1" customWidth="1"/>
    <col min="10288" max="10296" width="5.44140625" style="2" bestFit="1" customWidth="1"/>
    <col min="10297" max="10298" width="5.44140625" style="2" customWidth="1"/>
    <col min="10299" max="10299" width="2.77734375" style="2" customWidth="1"/>
    <col min="10300" max="10309" width="3" style="2" bestFit="1" customWidth="1"/>
    <col min="10310" max="10310" width="4" style="2" customWidth="1"/>
    <col min="10311" max="10311" width="4.44140625" style="2" customWidth="1"/>
    <col min="10312" max="10492" width="8.77734375" style="2"/>
    <col min="10493" max="10493" width="4.44140625" style="2" bestFit="1" customWidth="1"/>
    <col min="10494" max="10494" width="22.44140625" style="2" customWidth="1"/>
    <col min="10495" max="10495" width="5.109375" style="2" customWidth="1"/>
    <col min="10496" max="10496" width="6.44140625" style="2" customWidth="1"/>
    <col min="10497" max="10497" width="8.44140625" style="2" customWidth="1"/>
    <col min="10498" max="10502" width="6.44140625" style="2" customWidth="1"/>
    <col min="10503" max="10503" width="9.77734375" style="2" customWidth="1"/>
    <col min="10504" max="10504" width="8.44140625" style="2" customWidth="1"/>
    <col min="10505" max="10506" width="9.44140625" style="2" customWidth="1"/>
    <col min="10507" max="10507" width="8.44140625" style="2" customWidth="1"/>
    <col min="10508" max="10508" width="2.44140625" style="2" customWidth="1"/>
    <col min="10509" max="10509" width="4.77734375" style="2" customWidth="1"/>
    <col min="10510" max="10510" width="6.44140625" style="2" customWidth="1"/>
    <col min="10511" max="10512" width="4" style="2" customWidth="1"/>
    <col min="10513" max="10513" width="5.44140625" style="2" bestFit="1" customWidth="1"/>
    <col min="10514" max="10514" width="4" style="2" customWidth="1"/>
    <col min="10515" max="10515" width="4.77734375" style="2" bestFit="1" customWidth="1"/>
    <col min="10516" max="10516" width="6.77734375" style="2" customWidth="1"/>
    <col min="10517" max="10517" width="8.77734375" style="2"/>
    <col min="10518" max="10528" width="3.44140625" style="2" customWidth="1"/>
    <col min="10529" max="10529" width="5" style="2" customWidth="1"/>
    <col min="10530" max="10533" width="5.44140625" style="2" bestFit="1" customWidth="1"/>
    <col min="10534" max="10535" width="5.109375" style="2" bestFit="1" customWidth="1"/>
    <col min="10536" max="10538" width="5.44140625" style="2" bestFit="1" customWidth="1"/>
    <col min="10539" max="10541" width="5.44140625" style="2" customWidth="1"/>
    <col min="10542" max="10542" width="2.109375" style="2" customWidth="1"/>
    <col min="10543" max="10543" width="3" style="2" bestFit="1" customWidth="1"/>
    <col min="10544" max="10552" width="5.44140625" style="2" bestFit="1" customWidth="1"/>
    <col min="10553" max="10554" width="5.44140625" style="2" customWidth="1"/>
    <col min="10555" max="10555" width="2.77734375" style="2" customWidth="1"/>
    <col min="10556" max="10565" width="3" style="2" bestFit="1" customWidth="1"/>
    <col min="10566" max="10566" width="4" style="2" customWidth="1"/>
    <col min="10567" max="10567" width="4.44140625" style="2" customWidth="1"/>
    <col min="10568" max="10748" width="8.77734375" style="2"/>
    <col min="10749" max="10749" width="4.44140625" style="2" bestFit="1" customWidth="1"/>
    <col min="10750" max="10750" width="22.44140625" style="2" customWidth="1"/>
    <col min="10751" max="10751" width="5.109375" style="2" customWidth="1"/>
    <col min="10752" max="10752" width="6.44140625" style="2" customWidth="1"/>
    <col min="10753" max="10753" width="8.44140625" style="2" customWidth="1"/>
    <col min="10754" max="10758" width="6.44140625" style="2" customWidth="1"/>
    <col min="10759" max="10759" width="9.77734375" style="2" customWidth="1"/>
    <col min="10760" max="10760" width="8.44140625" style="2" customWidth="1"/>
    <col min="10761" max="10762" width="9.44140625" style="2" customWidth="1"/>
    <col min="10763" max="10763" width="8.44140625" style="2" customWidth="1"/>
    <col min="10764" max="10764" width="2.44140625" style="2" customWidth="1"/>
    <col min="10765" max="10765" width="4.77734375" style="2" customWidth="1"/>
    <col min="10766" max="10766" width="6.44140625" style="2" customWidth="1"/>
    <col min="10767" max="10768" width="4" style="2" customWidth="1"/>
    <col min="10769" max="10769" width="5.44140625" style="2" bestFit="1" customWidth="1"/>
    <col min="10770" max="10770" width="4" style="2" customWidth="1"/>
    <col min="10771" max="10771" width="4.77734375" style="2" bestFit="1" customWidth="1"/>
    <col min="10772" max="10772" width="6.77734375" style="2" customWidth="1"/>
    <col min="10773" max="10773" width="8.77734375" style="2"/>
    <col min="10774" max="10784" width="3.44140625" style="2" customWidth="1"/>
    <col min="10785" max="10785" width="5" style="2" customWidth="1"/>
    <col min="10786" max="10789" width="5.44140625" style="2" bestFit="1" customWidth="1"/>
    <col min="10790" max="10791" width="5.109375" style="2" bestFit="1" customWidth="1"/>
    <col min="10792" max="10794" width="5.44140625" style="2" bestFit="1" customWidth="1"/>
    <col min="10795" max="10797" width="5.44140625" style="2" customWidth="1"/>
    <col min="10798" max="10798" width="2.109375" style="2" customWidth="1"/>
    <col min="10799" max="10799" width="3" style="2" bestFit="1" customWidth="1"/>
    <col min="10800" max="10808" width="5.44140625" style="2" bestFit="1" customWidth="1"/>
    <col min="10809" max="10810" width="5.44140625" style="2" customWidth="1"/>
    <col min="10811" max="10811" width="2.77734375" style="2" customWidth="1"/>
    <col min="10812" max="10821" width="3" style="2" bestFit="1" customWidth="1"/>
    <col min="10822" max="10822" width="4" style="2" customWidth="1"/>
    <col min="10823" max="10823" width="4.44140625" style="2" customWidth="1"/>
    <col min="10824" max="11004" width="8.77734375" style="2"/>
    <col min="11005" max="11005" width="4.44140625" style="2" bestFit="1" customWidth="1"/>
    <col min="11006" max="11006" width="22.44140625" style="2" customWidth="1"/>
    <col min="11007" max="11007" width="5.109375" style="2" customWidth="1"/>
    <col min="11008" max="11008" width="6.44140625" style="2" customWidth="1"/>
    <col min="11009" max="11009" width="8.44140625" style="2" customWidth="1"/>
    <col min="11010" max="11014" width="6.44140625" style="2" customWidth="1"/>
    <col min="11015" max="11015" width="9.77734375" style="2" customWidth="1"/>
    <col min="11016" max="11016" width="8.44140625" style="2" customWidth="1"/>
    <col min="11017" max="11018" width="9.44140625" style="2" customWidth="1"/>
    <col min="11019" max="11019" width="8.44140625" style="2" customWidth="1"/>
    <col min="11020" max="11020" width="2.44140625" style="2" customWidth="1"/>
    <col min="11021" max="11021" width="4.77734375" style="2" customWidth="1"/>
    <col min="11022" max="11022" width="6.44140625" style="2" customWidth="1"/>
    <col min="11023" max="11024" width="4" style="2" customWidth="1"/>
    <col min="11025" max="11025" width="5.44140625" style="2" bestFit="1" customWidth="1"/>
    <col min="11026" max="11026" width="4" style="2" customWidth="1"/>
    <col min="11027" max="11027" width="4.77734375" style="2" bestFit="1" customWidth="1"/>
    <col min="11028" max="11028" width="6.77734375" style="2" customWidth="1"/>
    <col min="11029" max="11029" width="8.77734375" style="2"/>
    <col min="11030" max="11040" width="3.44140625" style="2" customWidth="1"/>
    <col min="11041" max="11041" width="5" style="2" customWidth="1"/>
    <col min="11042" max="11045" width="5.44140625" style="2" bestFit="1" customWidth="1"/>
    <col min="11046" max="11047" width="5.109375" style="2" bestFit="1" customWidth="1"/>
    <col min="11048" max="11050" width="5.44140625" style="2" bestFit="1" customWidth="1"/>
    <col min="11051" max="11053" width="5.44140625" style="2" customWidth="1"/>
    <col min="11054" max="11054" width="2.109375" style="2" customWidth="1"/>
    <col min="11055" max="11055" width="3" style="2" bestFit="1" customWidth="1"/>
    <col min="11056" max="11064" width="5.44140625" style="2" bestFit="1" customWidth="1"/>
    <col min="11065" max="11066" width="5.44140625" style="2" customWidth="1"/>
    <col min="11067" max="11067" width="2.77734375" style="2" customWidth="1"/>
    <col min="11068" max="11077" width="3" style="2" bestFit="1" customWidth="1"/>
    <col min="11078" max="11078" width="4" style="2" customWidth="1"/>
    <col min="11079" max="11079" width="4.44140625" style="2" customWidth="1"/>
    <col min="11080" max="11260" width="8.77734375" style="2"/>
    <col min="11261" max="11261" width="4.44140625" style="2" bestFit="1" customWidth="1"/>
    <col min="11262" max="11262" width="22.44140625" style="2" customWidth="1"/>
    <col min="11263" max="11263" width="5.109375" style="2" customWidth="1"/>
    <col min="11264" max="11264" width="6.44140625" style="2" customWidth="1"/>
    <col min="11265" max="11265" width="8.44140625" style="2" customWidth="1"/>
    <col min="11266" max="11270" width="6.44140625" style="2" customWidth="1"/>
    <col min="11271" max="11271" width="9.77734375" style="2" customWidth="1"/>
    <col min="11272" max="11272" width="8.44140625" style="2" customWidth="1"/>
    <col min="11273" max="11274" width="9.44140625" style="2" customWidth="1"/>
    <col min="11275" max="11275" width="8.44140625" style="2" customWidth="1"/>
    <col min="11276" max="11276" width="2.44140625" style="2" customWidth="1"/>
    <col min="11277" max="11277" width="4.77734375" style="2" customWidth="1"/>
    <col min="11278" max="11278" width="6.44140625" style="2" customWidth="1"/>
    <col min="11279" max="11280" width="4" style="2" customWidth="1"/>
    <col min="11281" max="11281" width="5.44140625" style="2" bestFit="1" customWidth="1"/>
    <col min="11282" max="11282" width="4" style="2" customWidth="1"/>
    <col min="11283" max="11283" width="4.77734375" style="2" bestFit="1" customWidth="1"/>
    <col min="11284" max="11284" width="6.77734375" style="2" customWidth="1"/>
    <col min="11285" max="11285" width="8.77734375" style="2"/>
    <col min="11286" max="11296" width="3.44140625" style="2" customWidth="1"/>
    <col min="11297" max="11297" width="5" style="2" customWidth="1"/>
    <col min="11298" max="11301" width="5.44140625" style="2" bestFit="1" customWidth="1"/>
    <col min="11302" max="11303" width="5.109375" style="2" bestFit="1" customWidth="1"/>
    <col min="11304" max="11306" width="5.44140625" style="2" bestFit="1" customWidth="1"/>
    <col min="11307" max="11309" width="5.44140625" style="2" customWidth="1"/>
    <col min="11310" max="11310" width="2.109375" style="2" customWidth="1"/>
    <col min="11311" max="11311" width="3" style="2" bestFit="1" customWidth="1"/>
    <col min="11312" max="11320" width="5.44140625" style="2" bestFit="1" customWidth="1"/>
    <col min="11321" max="11322" width="5.44140625" style="2" customWidth="1"/>
    <col min="11323" max="11323" width="2.77734375" style="2" customWidth="1"/>
    <col min="11324" max="11333" width="3" style="2" bestFit="1" customWidth="1"/>
    <col min="11334" max="11334" width="4" style="2" customWidth="1"/>
    <col min="11335" max="11335" width="4.44140625" style="2" customWidth="1"/>
    <col min="11336" max="11516" width="8.77734375" style="2"/>
    <col min="11517" max="11517" width="4.44140625" style="2" bestFit="1" customWidth="1"/>
    <col min="11518" max="11518" width="22.44140625" style="2" customWidth="1"/>
    <col min="11519" max="11519" width="5.109375" style="2" customWidth="1"/>
    <col min="11520" max="11520" width="6.44140625" style="2" customWidth="1"/>
    <col min="11521" max="11521" width="8.44140625" style="2" customWidth="1"/>
    <col min="11522" max="11526" width="6.44140625" style="2" customWidth="1"/>
    <col min="11527" max="11527" width="9.77734375" style="2" customWidth="1"/>
    <col min="11528" max="11528" width="8.44140625" style="2" customWidth="1"/>
    <col min="11529" max="11530" width="9.44140625" style="2" customWidth="1"/>
    <col min="11531" max="11531" width="8.44140625" style="2" customWidth="1"/>
    <col min="11532" max="11532" width="2.44140625" style="2" customWidth="1"/>
    <col min="11533" max="11533" width="4.77734375" style="2" customWidth="1"/>
    <col min="11534" max="11534" width="6.44140625" style="2" customWidth="1"/>
    <col min="11535" max="11536" width="4" style="2" customWidth="1"/>
    <col min="11537" max="11537" width="5.44140625" style="2" bestFit="1" customWidth="1"/>
    <col min="11538" max="11538" width="4" style="2" customWidth="1"/>
    <col min="11539" max="11539" width="4.77734375" style="2" bestFit="1" customWidth="1"/>
    <col min="11540" max="11540" width="6.77734375" style="2" customWidth="1"/>
    <col min="11541" max="11541" width="8.77734375" style="2"/>
    <col min="11542" max="11552" width="3.44140625" style="2" customWidth="1"/>
    <col min="11553" max="11553" width="5" style="2" customWidth="1"/>
    <col min="11554" max="11557" width="5.44140625" style="2" bestFit="1" customWidth="1"/>
    <col min="11558" max="11559" width="5.109375" style="2" bestFit="1" customWidth="1"/>
    <col min="11560" max="11562" width="5.44140625" style="2" bestFit="1" customWidth="1"/>
    <col min="11563" max="11565" width="5.44140625" style="2" customWidth="1"/>
    <col min="11566" max="11566" width="2.109375" style="2" customWidth="1"/>
    <col min="11567" max="11567" width="3" style="2" bestFit="1" customWidth="1"/>
    <col min="11568" max="11576" width="5.44140625" style="2" bestFit="1" customWidth="1"/>
    <col min="11577" max="11578" width="5.44140625" style="2" customWidth="1"/>
    <col min="11579" max="11579" width="2.77734375" style="2" customWidth="1"/>
    <col min="11580" max="11589" width="3" style="2" bestFit="1" customWidth="1"/>
    <col min="11590" max="11590" width="4" style="2" customWidth="1"/>
    <col min="11591" max="11591" width="4.44140625" style="2" customWidth="1"/>
    <col min="11592" max="11772" width="8.77734375" style="2"/>
    <col min="11773" max="11773" width="4.44140625" style="2" bestFit="1" customWidth="1"/>
    <col min="11774" max="11774" width="22.44140625" style="2" customWidth="1"/>
    <col min="11775" max="11775" width="5.109375" style="2" customWidth="1"/>
    <col min="11776" max="11776" width="6.44140625" style="2" customWidth="1"/>
    <col min="11777" max="11777" width="8.44140625" style="2" customWidth="1"/>
    <col min="11778" max="11782" width="6.44140625" style="2" customWidth="1"/>
    <col min="11783" max="11783" width="9.77734375" style="2" customWidth="1"/>
    <col min="11784" max="11784" width="8.44140625" style="2" customWidth="1"/>
    <col min="11785" max="11786" width="9.44140625" style="2" customWidth="1"/>
    <col min="11787" max="11787" width="8.44140625" style="2" customWidth="1"/>
    <col min="11788" max="11788" width="2.44140625" style="2" customWidth="1"/>
    <col min="11789" max="11789" width="4.77734375" style="2" customWidth="1"/>
    <col min="11790" max="11790" width="6.44140625" style="2" customWidth="1"/>
    <col min="11791" max="11792" width="4" style="2" customWidth="1"/>
    <col min="11793" max="11793" width="5.44140625" style="2" bestFit="1" customWidth="1"/>
    <col min="11794" max="11794" width="4" style="2" customWidth="1"/>
    <col min="11795" max="11795" width="4.77734375" style="2" bestFit="1" customWidth="1"/>
    <col min="11796" max="11796" width="6.77734375" style="2" customWidth="1"/>
    <col min="11797" max="11797" width="8.77734375" style="2"/>
    <col min="11798" max="11808" width="3.44140625" style="2" customWidth="1"/>
    <col min="11809" max="11809" width="5" style="2" customWidth="1"/>
    <col min="11810" max="11813" width="5.44140625" style="2" bestFit="1" customWidth="1"/>
    <col min="11814" max="11815" width="5.109375" style="2" bestFit="1" customWidth="1"/>
    <col min="11816" max="11818" width="5.44140625" style="2" bestFit="1" customWidth="1"/>
    <col min="11819" max="11821" width="5.44140625" style="2" customWidth="1"/>
    <col min="11822" max="11822" width="2.109375" style="2" customWidth="1"/>
    <col min="11823" max="11823" width="3" style="2" bestFit="1" customWidth="1"/>
    <col min="11824" max="11832" width="5.44140625" style="2" bestFit="1" customWidth="1"/>
    <col min="11833" max="11834" width="5.44140625" style="2" customWidth="1"/>
    <col min="11835" max="11835" width="2.77734375" style="2" customWidth="1"/>
    <col min="11836" max="11845" width="3" style="2" bestFit="1" customWidth="1"/>
    <col min="11846" max="11846" width="4" style="2" customWidth="1"/>
    <col min="11847" max="11847" width="4.44140625" style="2" customWidth="1"/>
    <col min="11848" max="12028" width="8.77734375" style="2"/>
    <col min="12029" max="12029" width="4.44140625" style="2" bestFit="1" customWidth="1"/>
    <col min="12030" max="12030" width="22.44140625" style="2" customWidth="1"/>
    <col min="12031" max="12031" width="5.109375" style="2" customWidth="1"/>
    <col min="12032" max="12032" width="6.44140625" style="2" customWidth="1"/>
    <col min="12033" max="12033" width="8.44140625" style="2" customWidth="1"/>
    <col min="12034" max="12038" width="6.44140625" style="2" customWidth="1"/>
    <col min="12039" max="12039" width="9.77734375" style="2" customWidth="1"/>
    <col min="12040" max="12040" width="8.44140625" style="2" customWidth="1"/>
    <col min="12041" max="12042" width="9.44140625" style="2" customWidth="1"/>
    <col min="12043" max="12043" width="8.44140625" style="2" customWidth="1"/>
    <col min="12044" max="12044" width="2.44140625" style="2" customWidth="1"/>
    <col min="12045" max="12045" width="4.77734375" style="2" customWidth="1"/>
    <col min="12046" max="12046" width="6.44140625" style="2" customWidth="1"/>
    <col min="12047" max="12048" width="4" style="2" customWidth="1"/>
    <col min="12049" max="12049" width="5.44140625" style="2" bestFit="1" customWidth="1"/>
    <col min="12050" max="12050" width="4" style="2" customWidth="1"/>
    <col min="12051" max="12051" width="4.77734375" style="2" bestFit="1" customWidth="1"/>
    <col min="12052" max="12052" width="6.77734375" style="2" customWidth="1"/>
    <col min="12053" max="12053" width="8.77734375" style="2"/>
    <col min="12054" max="12064" width="3.44140625" style="2" customWidth="1"/>
    <col min="12065" max="12065" width="5" style="2" customWidth="1"/>
    <col min="12066" max="12069" width="5.44140625" style="2" bestFit="1" customWidth="1"/>
    <col min="12070" max="12071" width="5.109375" style="2" bestFit="1" customWidth="1"/>
    <col min="12072" max="12074" width="5.44140625" style="2" bestFit="1" customWidth="1"/>
    <col min="12075" max="12077" width="5.44140625" style="2" customWidth="1"/>
    <col min="12078" max="12078" width="2.109375" style="2" customWidth="1"/>
    <col min="12079" max="12079" width="3" style="2" bestFit="1" customWidth="1"/>
    <col min="12080" max="12088" width="5.44140625" style="2" bestFit="1" customWidth="1"/>
    <col min="12089" max="12090" width="5.44140625" style="2" customWidth="1"/>
    <col min="12091" max="12091" width="2.77734375" style="2" customWidth="1"/>
    <col min="12092" max="12101" width="3" style="2" bestFit="1" customWidth="1"/>
    <col min="12102" max="12102" width="4" style="2" customWidth="1"/>
    <col min="12103" max="12103" width="4.44140625" style="2" customWidth="1"/>
    <col min="12104" max="12284" width="8.77734375" style="2"/>
    <col min="12285" max="12285" width="4.44140625" style="2" bestFit="1" customWidth="1"/>
    <col min="12286" max="12286" width="22.44140625" style="2" customWidth="1"/>
    <col min="12287" max="12287" width="5.109375" style="2" customWidth="1"/>
    <col min="12288" max="12288" width="6.44140625" style="2" customWidth="1"/>
    <col min="12289" max="12289" width="8.44140625" style="2" customWidth="1"/>
    <col min="12290" max="12294" width="6.44140625" style="2" customWidth="1"/>
    <col min="12295" max="12295" width="9.77734375" style="2" customWidth="1"/>
    <col min="12296" max="12296" width="8.44140625" style="2" customWidth="1"/>
    <col min="12297" max="12298" width="9.44140625" style="2" customWidth="1"/>
    <col min="12299" max="12299" width="8.44140625" style="2" customWidth="1"/>
    <col min="12300" max="12300" width="2.44140625" style="2" customWidth="1"/>
    <col min="12301" max="12301" width="4.77734375" style="2" customWidth="1"/>
    <col min="12302" max="12302" width="6.44140625" style="2" customWidth="1"/>
    <col min="12303" max="12304" width="4" style="2" customWidth="1"/>
    <col min="12305" max="12305" width="5.44140625" style="2" bestFit="1" customWidth="1"/>
    <col min="12306" max="12306" width="4" style="2" customWidth="1"/>
    <col min="12307" max="12307" width="4.77734375" style="2" bestFit="1" customWidth="1"/>
    <col min="12308" max="12308" width="6.77734375" style="2" customWidth="1"/>
    <col min="12309" max="12309" width="8.77734375" style="2"/>
    <col min="12310" max="12320" width="3.44140625" style="2" customWidth="1"/>
    <col min="12321" max="12321" width="5" style="2" customWidth="1"/>
    <col min="12322" max="12325" width="5.44140625" style="2" bestFit="1" customWidth="1"/>
    <col min="12326" max="12327" width="5.109375" style="2" bestFit="1" customWidth="1"/>
    <col min="12328" max="12330" width="5.44140625" style="2" bestFit="1" customWidth="1"/>
    <col min="12331" max="12333" width="5.44140625" style="2" customWidth="1"/>
    <col min="12334" max="12334" width="2.109375" style="2" customWidth="1"/>
    <col min="12335" max="12335" width="3" style="2" bestFit="1" customWidth="1"/>
    <col min="12336" max="12344" width="5.44140625" style="2" bestFit="1" customWidth="1"/>
    <col min="12345" max="12346" width="5.44140625" style="2" customWidth="1"/>
    <col min="12347" max="12347" width="2.77734375" style="2" customWidth="1"/>
    <col min="12348" max="12357" width="3" style="2" bestFit="1" customWidth="1"/>
    <col min="12358" max="12358" width="4" style="2" customWidth="1"/>
    <col min="12359" max="12359" width="4.44140625" style="2" customWidth="1"/>
    <col min="12360" max="12540" width="8.77734375" style="2"/>
    <col min="12541" max="12541" width="4.44140625" style="2" bestFit="1" customWidth="1"/>
    <col min="12542" max="12542" width="22.44140625" style="2" customWidth="1"/>
    <col min="12543" max="12543" width="5.109375" style="2" customWidth="1"/>
    <col min="12544" max="12544" width="6.44140625" style="2" customWidth="1"/>
    <col min="12545" max="12545" width="8.44140625" style="2" customWidth="1"/>
    <col min="12546" max="12550" width="6.44140625" style="2" customWidth="1"/>
    <col min="12551" max="12551" width="9.77734375" style="2" customWidth="1"/>
    <col min="12552" max="12552" width="8.44140625" style="2" customWidth="1"/>
    <col min="12553" max="12554" width="9.44140625" style="2" customWidth="1"/>
    <col min="12555" max="12555" width="8.44140625" style="2" customWidth="1"/>
    <col min="12556" max="12556" width="2.44140625" style="2" customWidth="1"/>
    <col min="12557" max="12557" width="4.77734375" style="2" customWidth="1"/>
    <col min="12558" max="12558" width="6.44140625" style="2" customWidth="1"/>
    <col min="12559" max="12560" width="4" style="2" customWidth="1"/>
    <col min="12561" max="12561" width="5.44140625" style="2" bestFit="1" customWidth="1"/>
    <col min="12562" max="12562" width="4" style="2" customWidth="1"/>
    <col min="12563" max="12563" width="4.77734375" style="2" bestFit="1" customWidth="1"/>
    <col min="12564" max="12564" width="6.77734375" style="2" customWidth="1"/>
    <col min="12565" max="12565" width="8.77734375" style="2"/>
    <col min="12566" max="12576" width="3.44140625" style="2" customWidth="1"/>
    <col min="12577" max="12577" width="5" style="2" customWidth="1"/>
    <col min="12578" max="12581" width="5.44140625" style="2" bestFit="1" customWidth="1"/>
    <col min="12582" max="12583" width="5.109375" style="2" bestFit="1" customWidth="1"/>
    <col min="12584" max="12586" width="5.44140625" style="2" bestFit="1" customWidth="1"/>
    <col min="12587" max="12589" width="5.44140625" style="2" customWidth="1"/>
    <col min="12590" max="12590" width="2.109375" style="2" customWidth="1"/>
    <col min="12591" max="12591" width="3" style="2" bestFit="1" customWidth="1"/>
    <col min="12592" max="12600" width="5.44140625" style="2" bestFit="1" customWidth="1"/>
    <col min="12601" max="12602" width="5.44140625" style="2" customWidth="1"/>
    <col min="12603" max="12603" width="2.77734375" style="2" customWidth="1"/>
    <col min="12604" max="12613" width="3" style="2" bestFit="1" customWidth="1"/>
    <col min="12614" max="12614" width="4" style="2" customWidth="1"/>
    <col min="12615" max="12615" width="4.44140625" style="2" customWidth="1"/>
    <col min="12616" max="12796" width="8.77734375" style="2"/>
    <col min="12797" max="12797" width="4.44140625" style="2" bestFit="1" customWidth="1"/>
    <col min="12798" max="12798" width="22.44140625" style="2" customWidth="1"/>
    <col min="12799" max="12799" width="5.109375" style="2" customWidth="1"/>
    <col min="12800" max="12800" width="6.44140625" style="2" customWidth="1"/>
    <col min="12801" max="12801" width="8.44140625" style="2" customWidth="1"/>
    <col min="12802" max="12806" width="6.44140625" style="2" customWidth="1"/>
    <col min="12807" max="12807" width="9.77734375" style="2" customWidth="1"/>
    <col min="12808" max="12808" width="8.44140625" style="2" customWidth="1"/>
    <col min="12809" max="12810" width="9.44140625" style="2" customWidth="1"/>
    <col min="12811" max="12811" width="8.44140625" style="2" customWidth="1"/>
    <col min="12812" max="12812" width="2.44140625" style="2" customWidth="1"/>
    <col min="12813" max="12813" width="4.77734375" style="2" customWidth="1"/>
    <col min="12814" max="12814" width="6.44140625" style="2" customWidth="1"/>
    <col min="12815" max="12816" width="4" style="2" customWidth="1"/>
    <col min="12817" max="12817" width="5.44140625" style="2" bestFit="1" customWidth="1"/>
    <col min="12818" max="12818" width="4" style="2" customWidth="1"/>
    <col min="12819" max="12819" width="4.77734375" style="2" bestFit="1" customWidth="1"/>
    <col min="12820" max="12820" width="6.77734375" style="2" customWidth="1"/>
    <col min="12821" max="12821" width="8.77734375" style="2"/>
    <col min="12822" max="12832" width="3.44140625" style="2" customWidth="1"/>
    <col min="12833" max="12833" width="5" style="2" customWidth="1"/>
    <col min="12834" max="12837" width="5.44140625" style="2" bestFit="1" customWidth="1"/>
    <col min="12838" max="12839" width="5.109375" style="2" bestFit="1" customWidth="1"/>
    <col min="12840" max="12842" width="5.44140625" style="2" bestFit="1" customWidth="1"/>
    <col min="12843" max="12845" width="5.44140625" style="2" customWidth="1"/>
    <col min="12846" max="12846" width="2.109375" style="2" customWidth="1"/>
    <col min="12847" max="12847" width="3" style="2" bestFit="1" customWidth="1"/>
    <col min="12848" max="12856" width="5.44140625" style="2" bestFit="1" customWidth="1"/>
    <col min="12857" max="12858" width="5.44140625" style="2" customWidth="1"/>
    <col min="12859" max="12859" width="2.77734375" style="2" customWidth="1"/>
    <col min="12860" max="12869" width="3" style="2" bestFit="1" customWidth="1"/>
    <col min="12870" max="12870" width="4" style="2" customWidth="1"/>
    <col min="12871" max="12871" width="4.44140625" style="2" customWidth="1"/>
    <col min="12872" max="13052" width="8.77734375" style="2"/>
    <col min="13053" max="13053" width="4.44140625" style="2" bestFit="1" customWidth="1"/>
    <col min="13054" max="13054" width="22.44140625" style="2" customWidth="1"/>
    <col min="13055" max="13055" width="5.109375" style="2" customWidth="1"/>
    <col min="13056" max="13056" width="6.44140625" style="2" customWidth="1"/>
    <col min="13057" max="13057" width="8.44140625" style="2" customWidth="1"/>
    <col min="13058" max="13062" width="6.44140625" style="2" customWidth="1"/>
    <col min="13063" max="13063" width="9.77734375" style="2" customWidth="1"/>
    <col min="13064" max="13064" width="8.44140625" style="2" customWidth="1"/>
    <col min="13065" max="13066" width="9.44140625" style="2" customWidth="1"/>
    <col min="13067" max="13067" width="8.44140625" style="2" customWidth="1"/>
    <col min="13068" max="13068" width="2.44140625" style="2" customWidth="1"/>
    <col min="13069" max="13069" width="4.77734375" style="2" customWidth="1"/>
    <col min="13070" max="13070" width="6.44140625" style="2" customWidth="1"/>
    <col min="13071" max="13072" width="4" style="2" customWidth="1"/>
    <col min="13073" max="13073" width="5.44140625" style="2" bestFit="1" customWidth="1"/>
    <col min="13074" max="13074" width="4" style="2" customWidth="1"/>
    <col min="13075" max="13075" width="4.77734375" style="2" bestFit="1" customWidth="1"/>
    <col min="13076" max="13076" width="6.77734375" style="2" customWidth="1"/>
    <col min="13077" max="13077" width="8.77734375" style="2"/>
    <col min="13078" max="13088" width="3.44140625" style="2" customWidth="1"/>
    <col min="13089" max="13089" width="5" style="2" customWidth="1"/>
    <col min="13090" max="13093" width="5.44140625" style="2" bestFit="1" customWidth="1"/>
    <col min="13094" max="13095" width="5.109375" style="2" bestFit="1" customWidth="1"/>
    <col min="13096" max="13098" width="5.44140625" style="2" bestFit="1" customWidth="1"/>
    <col min="13099" max="13101" width="5.44140625" style="2" customWidth="1"/>
    <col min="13102" max="13102" width="2.109375" style="2" customWidth="1"/>
    <col min="13103" max="13103" width="3" style="2" bestFit="1" customWidth="1"/>
    <col min="13104" max="13112" width="5.44140625" style="2" bestFit="1" customWidth="1"/>
    <col min="13113" max="13114" width="5.44140625" style="2" customWidth="1"/>
    <col min="13115" max="13115" width="2.77734375" style="2" customWidth="1"/>
    <col min="13116" max="13125" width="3" style="2" bestFit="1" customWidth="1"/>
    <col min="13126" max="13126" width="4" style="2" customWidth="1"/>
    <col min="13127" max="13127" width="4.44140625" style="2" customWidth="1"/>
    <col min="13128" max="13308" width="8.77734375" style="2"/>
    <col min="13309" max="13309" width="4.44140625" style="2" bestFit="1" customWidth="1"/>
    <col min="13310" max="13310" width="22.44140625" style="2" customWidth="1"/>
    <col min="13311" max="13311" width="5.109375" style="2" customWidth="1"/>
    <col min="13312" max="13312" width="6.44140625" style="2" customWidth="1"/>
    <col min="13313" max="13313" width="8.44140625" style="2" customWidth="1"/>
    <col min="13314" max="13318" width="6.44140625" style="2" customWidth="1"/>
    <col min="13319" max="13319" width="9.77734375" style="2" customWidth="1"/>
    <col min="13320" max="13320" width="8.44140625" style="2" customWidth="1"/>
    <col min="13321" max="13322" width="9.44140625" style="2" customWidth="1"/>
    <col min="13323" max="13323" width="8.44140625" style="2" customWidth="1"/>
    <col min="13324" max="13324" width="2.44140625" style="2" customWidth="1"/>
    <col min="13325" max="13325" width="4.77734375" style="2" customWidth="1"/>
    <col min="13326" max="13326" width="6.44140625" style="2" customWidth="1"/>
    <col min="13327" max="13328" width="4" style="2" customWidth="1"/>
    <col min="13329" max="13329" width="5.44140625" style="2" bestFit="1" customWidth="1"/>
    <col min="13330" max="13330" width="4" style="2" customWidth="1"/>
    <col min="13331" max="13331" width="4.77734375" style="2" bestFit="1" customWidth="1"/>
    <col min="13332" max="13332" width="6.77734375" style="2" customWidth="1"/>
    <col min="13333" max="13333" width="8.77734375" style="2"/>
    <col min="13334" max="13344" width="3.44140625" style="2" customWidth="1"/>
    <col min="13345" max="13345" width="5" style="2" customWidth="1"/>
    <col min="13346" max="13349" width="5.44140625" style="2" bestFit="1" customWidth="1"/>
    <col min="13350" max="13351" width="5.109375" style="2" bestFit="1" customWidth="1"/>
    <col min="13352" max="13354" width="5.44140625" style="2" bestFit="1" customWidth="1"/>
    <col min="13355" max="13357" width="5.44140625" style="2" customWidth="1"/>
    <col min="13358" max="13358" width="2.109375" style="2" customWidth="1"/>
    <col min="13359" max="13359" width="3" style="2" bestFit="1" customWidth="1"/>
    <col min="13360" max="13368" width="5.44140625" style="2" bestFit="1" customWidth="1"/>
    <col min="13369" max="13370" width="5.44140625" style="2" customWidth="1"/>
    <col min="13371" max="13371" width="2.77734375" style="2" customWidth="1"/>
    <col min="13372" max="13381" width="3" style="2" bestFit="1" customWidth="1"/>
    <col min="13382" max="13382" width="4" style="2" customWidth="1"/>
    <col min="13383" max="13383" width="4.44140625" style="2" customWidth="1"/>
    <col min="13384" max="13564" width="8.77734375" style="2"/>
    <col min="13565" max="13565" width="4.44140625" style="2" bestFit="1" customWidth="1"/>
    <col min="13566" max="13566" width="22.44140625" style="2" customWidth="1"/>
    <col min="13567" max="13567" width="5.109375" style="2" customWidth="1"/>
    <col min="13568" max="13568" width="6.44140625" style="2" customWidth="1"/>
    <col min="13569" max="13569" width="8.44140625" style="2" customWidth="1"/>
    <col min="13570" max="13574" width="6.44140625" style="2" customWidth="1"/>
    <col min="13575" max="13575" width="9.77734375" style="2" customWidth="1"/>
    <col min="13576" max="13576" width="8.44140625" style="2" customWidth="1"/>
    <col min="13577" max="13578" width="9.44140625" style="2" customWidth="1"/>
    <col min="13579" max="13579" width="8.44140625" style="2" customWidth="1"/>
    <col min="13580" max="13580" width="2.44140625" style="2" customWidth="1"/>
    <col min="13581" max="13581" width="4.77734375" style="2" customWidth="1"/>
    <col min="13582" max="13582" width="6.44140625" style="2" customWidth="1"/>
    <col min="13583" max="13584" width="4" style="2" customWidth="1"/>
    <col min="13585" max="13585" width="5.44140625" style="2" bestFit="1" customWidth="1"/>
    <col min="13586" max="13586" width="4" style="2" customWidth="1"/>
    <col min="13587" max="13587" width="4.77734375" style="2" bestFit="1" customWidth="1"/>
    <col min="13588" max="13588" width="6.77734375" style="2" customWidth="1"/>
    <col min="13589" max="13589" width="8.77734375" style="2"/>
    <col min="13590" max="13600" width="3.44140625" style="2" customWidth="1"/>
    <col min="13601" max="13601" width="5" style="2" customWidth="1"/>
    <col min="13602" max="13605" width="5.44140625" style="2" bestFit="1" customWidth="1"/>
    <col min="13606" max="13607" width="5.109375" style="2" bestFit="1" customWidth="1"/>
    <col min="13608" max="13610" width="5.44140625" style="2" bestFit="1" customWidth="1"/>
    <col min="13611" max="13613" width="5.44140625" style="2" customWidth="1"/>
    <col min="13614" max="13614" width="2.109375" style="2" customWidth="1"/>
    <col min="13615" max="13615" width="3" style="2" bestFit="1" customWidth="1"/>
    <col min="13616" max="13624" width="5.44140625" style="2" bestFit="1" customWidth="1"/>
    <col min="13625" max="13626" width="5.44140625" style="2" customWidth="1"/>
    <col min="13627" max="13627" width="2.77734375" style="2" customWidth="1"/>
    <col min="13628" max="13637" width="3" style="2" bestFit="1" customWidth="1"/>
    <col min="13638" max="13638" width="4" style="2" customWidth="1"/>
    <col min="13639" max="13639" width="4.44140625" style="2" customWidth="1"/>
    <col min="13640" max="13820" width="8.77734375" style="2"/>
    <col min="13821" max="13821" width="4.44140625" style="2" bestFit="1" customWidth="1"/>
    <col min="13822" max="13822" width="22.44140625" style="2" customWidth="1"/>
    <col min="13823" max="13823" width="5.109375" style="2" customWidth="1"/>
    <col min="13824" max="13824" width="6.44140625" style="2" customWidth="1"/>
    <col min="13825" max="13825" width="8.44140625" style="2" customWidth="1"/>
    <col min="13826" max="13830" width="6.44140625" style="2" customWidth="1"/>
    <col min="13831" max="13831" width="9.77734375" style="2" customWidth="1"/>
    <col min="13832" max="13832" width="8.44140625" style="2" customWidth="1"/>
    <col min="13833" max="13834" width="9.44140625" style="2" customWidth="1"/>
    <col min="13835" max="13835" width="8.44140625" style="2" customWidth="1"/>
    <col min="13836" max="13836" width="2.44140625" style="2" customWidth="1"/>
    <col min="13837" max="13837" width="4.77734375" style="2" customWidth="1"/>
    <col min="13838" max="13838" width="6.44140625" style="2" customWidth="1"/>
    <col min="13839" max="13840" width="4" style="2" customWidth="1"/>
    <col min="13841" max="13841" width="5.44140625" style="2" bestFit="1" customWidth="1"/>
    <col min="13842" max="13842" width="4" style="2" customWidth="1"/>
    <col min="13843" max="13843" width="4.77734375" style="2" bestFit="1" customWidth="1"/>
    <col min="13844" max="13844" width="6.77734375" style="2" customWidth="1"/>
    <col min="13845" max="13845" width="8.77734375" style="2"/>
    <col min="13846" max="13856" width="3.44140625" style="2" customWidth="1"/>
    <col min="13857" max="13857" width="5" style="2" customWidth="1"/>
    <col min="13858" max="13861" width="5.44140625" style="2" bestFit="1" customWidth="1"/>
    <col min="13862" max="13863" width="5.109375" style="2" bestFit="1" customWidth="1"/>
    <col min="13864" max="13866" width="5.44140625" style="2" bestFit="1" customWidth="1"/>
    <col min="13867" max="13869" width="5.44140625" style="2" customWidth="1"/>
    <col min="13870" max="13870" width="2.109375" style="2" customWidth="1"/>
    <col min="13871" max="13871" width="3" style="2" bestFit="1" customWidth="1"/>
    <col min="13872" max="13880" width="5.44140625" style="2" bestFit="1" customWidth="1"/>
    <col min="13881" max="13882" width="5.44140625" style="2" customWidth="1"/>
    <col min="13883" max="13883" width="2.77734375" style="2" customWidth="1"/>
    <col min="13884" max="13893" width="3" style="2" bestFit="1" customWidth="1"/>
    <col min="13894" max="13894" width="4" style="2" customWidth="1"/>
    <col min="13895" max="13895" width="4.44140625" style="2" customWidth="1"/>
    <col min="13896" max="14076" width="8.77734375" style="2"/>
    <col min="14077" max="14077" width="4.44140625" style="2" bestFit="1" customWidth="1"/>
    <col min="14078" max="14078" width="22.44140625" style="2" customWidth="1"/>
    <col min="14079" max="14079" width="5.109375" style="2" customWidth="1"/>
    <col min="14080" max="14080" width="6.44140625" style="2" customWidth="1"/>
    <col min="14081" max="14081" width="8.44140625" style="2" customWidth="1"/>
    <col min="14082" max="14086" width="6.44140625" style="2" customWidth="1"/>
    <col min="14087" max="14087" width="9.77734375" style="2" customWidth="1"/>
    <col min="14088" max="14088" width="8.44140625" style="2" customWidth="1"/>
    <col min="14089" max="14090" width="9.44140625" style="2" customWidth="1"/>
    <col min="14091" max="14091" width="8.44140625" style="2" customWidth="1"/>
    <col min="14092" max="14092" width="2.44140625" style="2" customWidth="1"/>
    <col min="14093" max="14093" width="4.77734375" style="2" customWidth="1"/>
    <col min="14094" max="14094" width="6.44140625" style="2" customWidth="1"/>
    <col min="14095" max="14096" width="4" style="2" customWidth="1"/>
    <col min="14097" max="14097" width="5.44140625" style="2" bestFit="1" customWidth="1"/>
    <col min="14098" max="14098" width="4" style="2" customWidth="1"/>
    <col min="14099" max="14099" width="4.77734375" style="2" bestFit="1" customWidth="1"/>
    <col min="14100" max="14100" width="6.77734375" style="2" customWidth="1"/>
    <col min="14101" max="14101" width="8.77734375" style="2"/>
    <col min="14102" max="14112" width="3.44140625" style="2" customWidth="1"/>
    <col min="14113" max="14113" width="5" style="2" customWidth="1"/>
    <col min="14114" max="14117" width="5.44140625" style="2" bestFit="1" customWidth="1"/>
    <col min="14118" max="14119" width="5.109375" style="2" bestFit="1" customWidth="1"/>
    <col min="14120" max="14122" width="5.44140625" style="2" bestFit="1" customWidth="1"/>
    <col min="14123" max="14125" width="5.44140625" style="2" customWidth="1"/>
    <col min="14126" max="14126" width="2.109375" style="2" customWidth="1"/>
    <col min="14127" max="14127" width="3" style="2" bestFit="1" customWidth="1"/>
    <col min="14128" max="14136" width="5.44140625" style="2" bestFit="1" customWidth="1"/>
    <col min="14137" max="14138" width="5.44140625" style="2" customWidth="1"/>
    <col min="14139" max="14139" width="2.77734375" style="2" customWidth="1"/>
    <col min="14140" max="14149" width="3" style="2" bestFit="1" customWidth="1"/>
    <col min="14150" max="14150" width="4" style="2" customWidth="1"/>
    <col min="14151" max="14151" width="4.44140625" style="2" customWidth="1"/>
    <col min="14152" max="14332" width="8.77734375" style="2"/>
    <col min="14333" max="14333" width="4.44140625" style="2" bestFit="1" customWidth="1"/>
    <col min="14334" max="14334" width="22.44140625" style="2" customWidth="1"/>
    <col min="14335" max="14335" width="5.109375" style="2" customWidth="1"/>
    <col min="14336" max="14336" width="6.44140625" style="2" customWidth="1"/>
    <col min="14337" max="14337" width="8.44140625" style="2" customWidth="1"/>
    <col min="14338" max="14342" width="6.44140625" style="2" customWidth="1"/>
    <col min="14343" max="14343" width="9.77734375" style="2" customWidth="1"/>
    <col min="14344" max="14344" width="8.44140625" style="2" customWidth="1"/>
    <col min="14345" max="14346" width="9.44140625" style="2" customWidth="1"/>
    <col min="14347" max="14347" width="8.44140625" style="2" customWidth="1"/>
    <col min="14348" max="14348" width="2.44140625" style="2" customWidth="1"/>
    <col min="14349" max="14349" width="4.77734375" style="2" customWidth="1"/>
    <col min="14350" max="14350" width="6.44140625" style="2" customWidth="1"/>
    <col min="14351" max="14352" width="4" style="2" customWidth="1"/>
    <col min="14353" max="14353" width="5.44140625" style="2" bestFit="1" customWidth="1"/>
    <col min="14354" max="14354" width="4" style="2" customWidth="1"/>
    <col min="14355" max="14355" width="4.77734375" style="2" bestFit="1" customWidth="1"/>
    <col min="14356" max="14356" width="6.77734375" style="2" customWidth="1"/>
    <col min="14357" max="14357" width="8.77734375" style="2"/>
    <col min="14358" max="14368" width="3.44140625" style="2" customWidth="1"/>
    <col min="14369" max="14369" width="5" style="2" customWidth="1"/>
    <col min="14370" max="14373" width="5.44140625" style="2" bestFit="1" customWidth="1"/>
    <col min="14374" max="14375" width="5.109375" style="2" bestFit="1" customWidth="1"/>
    <col min="14376" max="14378" width="5.44140625" style="2" bestFit="1" customWidth="1"/>
    <col min="14379" max="14381" width="5.44140625" style="2" customWidth="1"/>
    <col min="14382" max="14382" width="2.109375" style="2" customWidth="1"/>
    <col min="14383" max="14383" width="3" style="2" bestFit="1" customWidth="1"/>
    <col min="14384" max="14392" width="5.44140625" style="2" bestFit="1" customWidth="1"/>
    <col min="14393" max="14394" width="5.44140625" style="2" customWidth="1"/>
    <col min="14395" max="14395" width="2.77734375" style="2" customWidth="1"/>
    <col min="14396" max="14405" width="3" style="2" bestFit="1" customWidth="1"/>
    <col min="14406" max="14406" width="4" style="2" customWidth="1"/>
    <col min="14407" max="14407" width="4.44140625" style="2" customWidth="1"/>
    <col min="14408" max="14588" width="8.77734375" style="2"/>
    <col min="14589" max="14589" width="4.44140625" style="2" bestFit="1" customWidth="1"/>
    <col min="14590" max="14590" width="22.44140625" style="2" customWidth="1"/>
    <col min="14591" max="14591" width="5.109375" style="2" customWidth="1"/>
    <col min="14592" max="14592" width="6.44140625" style="2" customWidth="1"/>
    <col min="14593" max="14593" width="8.44140625" style="2" customWidth="1"/>
    <col min="14594" max="14598" width="6.44140625" style="2" customWidth="1"/>
    <col min="14599" max="14599" width="9.77734375" style="2" customWidth="1"/>
    <col min="14600" max="14600" width="8.44140625" style="2" customWidth="1"/>
    <col min="14601" max="14602" width="9.44140625" style="2" customWidth="1"/>
    <col min="14603" max="14603" width="8.44140625" style="2" customWidth="1"/>
    <col min="14604" max="14604" width="2.44140625" style="2" customWidth="1"/>
    <col min="14605" max="14605" width="4.77734375" style="2" customWidth="1"/>
    <col min="14606" max="14606" width="6.44140625" style="2" customWidth="1"/>
    <col min="14607" max="14608" width="4" style="2" customWidth="1"/>
    <col min="14609" max="14609" width="5.44140625" style="2" bestFit="1" customWidth="1"/>
    <col min="14610" max="14610" width="4" style="2" customWidth="1"/>
    <col min="14611" max="14611" width="4.77734375" style="2" bestFit="1" customWidth="1"/>
    <col min="14612" max="14612" width="6.77734375" style="2" customWidth="1"/>
    <col min="14613" max="14613" width="8.77734375" style="2"/>
    <col min="14614" max="14624" width="3.44140625" style="2" customWidth="1"/>
    <col min="14625" max="14625" width="5" style="2" customWidth="1"/>
    <col min="14626" max="14629" width="5.44140625" style="2" bestFit="1" customWidth="1"/>
    <col min="14630" max="14631" width="5.109375" style="2" bestFit="1" customWidth="1"/>
    <col min="14632" max="14634" width="5.44140625" style="2" bestFit="1" customWidth="1"/>
    <col min="14635" max="14637" width="5.44140625" style="2" customWidth="1"/>
    <col min="14638" max="14638" width="2.109375" style="2" customWidth="1"/>
    <col min="14639" max="14639" width="3" style="2" bestFit="1" customWidth="1"/>
    <col min="14640" max="14648" width="5.44140625" style="2" bestFit="1" customWidth="1"/>
    <col min="14649" max="14650" width="5.44140625" style="2" customWidth="1"/>
    <col min="14651" max="14651" width="2.77734375" style="2" customWidth="1"/>
    <col min="14652" max="14661" width="3" style="2" bestFit="1" customWidth="1"/>
    <col min="14662" max="14662" width="4" style="2" customWidth="1"/>
    <col min="14663" max="14663" width="4.44140625" style="2" customWidth="1"/>
    <col min="14664" max="14844" width="8.77734375" style="2"/>
    <col min="14845" max="14845" width="4.44140625" style="2" bestFit="1" customWidth="1"/>
    <col min="14846" max="14846" width="22.44140625" style="2" customWidth="1"/>
    <col min="14847" max="14847" width="5.109375" style="2" customWidth="1"/>
    <col min="14848" max="14848" width="6.44140625" style="2" customWidth="1"/>
    <col min="14849" max="14849" width="8.44140625" style="2" customWidth="1"/>
    <col min="14850" max="14854" width="6.44140625" style="2" customWidth="1"/>
    <col min="14855" max="14855" width="9.77734375" style="2" customWidth="1"/>
    <col min="14856" max="14856" width="8.44140625" style="2" customWidth="1"/>
    <col min="14857" max="14858" width="9.44140625" style="2" customWidth="1"/>
    <col min="14859" max="14859" width="8.44140625" style="2" customWidth="1"/>
    <col min="14860" max="14860" width="2.44140625" style="2" customWidth="1"/>
    <col min="14861" max="14861" width="4.77734375" style="2" customWidth="1"/>
    <col min="14862" max="14862" width="6.44140625" style="2" customWidth="1"/>
    <col min="14863" max="14864" width="4" style="2" customWidth="1"/>
    <col min="14865" max="14865" width="5.44140625" style="2" bestFit="1" customWidth="1"/>
    <col min="14866" max="14866" width="4" style="2" customWidth="1"/>
    <col min="14867" max="14867" width="4.77734375" style="2" bestFit="1" customWidth="1"/>
    <col min="14868" max="14868" width="6.77734375" style="2" customWidth="1"/>
    <col min="14869" max="14869" width="8.77734375" style="2"/>
    <col min="14870" max="14880" width="3.44140625" style="2" customWidth="1"/>
    <col min="14881" max="14881" width="5" style="2" customWidth="1"/>
    <col min="14882" max="14885" width="5.44140625" style="2" bestFit="1" customWidth="1"/>
    <col min="14886" max="14887" width="5.109375" style="2" bestFit="1" customWidth="1"/>
    <col min="14888" max="14890" width="5.44140625" style="2" bestFit="1" customWidth="1"/>
    <col min="14891" max="14893" width="5.44140625" style="2" customWidth="1"/>
    <col min="14894" max="14894" width="2.109375" style="2" customWidth="1"/>
    <col min="14895" max="14895" width="3" style="2" bestFit="1" customWidth="1"/>
    <col min="14896" max="14904" width="5.44140625" style="2" bestFit="1" customWidth="1"/>
    <col min="14905" max="14906" width="5.44140625" style="2" customWidth="1"/>
    <col min="14907" max="14907" width="2.77734375" style="2" customWidth="1"/>
    <col min="14908" max="14917" width="3" style="2" bestFit="1" customWidth="1"/>
    <col min="14918" max="14918" width="4" style="2" customWidth="1"/>
    <col min="14919" max="14919" width="4.44140625" style="2" customWidth="1"/>
    <col min="14920" max="15100" width="8.77734375" style="2"/>
    <col min="15101" max="15101" width="4.44140625" style="2" bestFit="1" customWidth="1"/>
    <col min="15102" max="15102" width="22.44140625" style="2" customWidth="1"/>
    <col min="15103" max="15103" width="5.109375" style="2" customWidth="1"/>
    <col min="15104" max="15104" width="6.44140625" style="2" customWidth="1"/>
    <col min="15105" max="15105" width="8.44140625" style="2" customWidth="1"/>
    <col min="15106" max="15110" width="6.44140625" style="2" customWidth="1"/>
    <col min="15111" max="15111" width="9.77734375" style="2" customWidth="1"/>
    <col min="15112" max="15112" width="8.44140625" style="2" customWidth="1"/>
    <col min="15113" max="15114" width="9.44140625" style="2" customWidth="1"/>
    <col min="15115" max="15115" width="8.44140625" style="2" customWidth="1"/>
    <col min="15116" max="15116" width="2.44140625" style="2" customWidth="1"/>
    <col min="15117" max="15117" width="4.77734375" style="2" customWidth="1"/>
    <col min="15118" max="15118" width="6.44140625" style="2" customWidth="1"/>
    <col min="15119" max="15120" width="4" style="2" customWidth="1"/>
    <col min="15121" max="15121" width="5.44140625" style="2" bestFit="1" customWidth="1"/>
    <col min="15122" max="15122" width="4" style="2" customWidth="1"/>
    <col min="15123" max="15123" width="4.77734375" style="2" bestFit="1" customWidth="1"/>
    <col min="15124" max="15124" width="6.77734375" style="2" customWidth="1"/>
    <col min="15125" max="15125" width="8.77734375" style="2"/>
    <col min="15126" max="15136" width="3.44140625" style="2" customWidth="1"/>
    <col min="15137" max="15137" width="5" style="2" customWidth="1"/>
    <col min="15138" max="15141" width="5.44140625" style="2" bestFit="1" customWidth="1"/>
    <col min="15142" max="15143" width="5.109375" style="2" bestFit="1" customWidth="1"/>
    <col min="15144" max="15146" width="5.44140625" style="2" bestFit="1" customWidth="1"/>
    <col min="15147" max="15149" width="5.44140625" style="2" customWidth="1"/>
    <col min="15150" max="15150" width="2.109375" style="2" customWidth="1"/>
    <col min="15151" max="15151" width="3" style="2" bestFit="1" customWidth="1"/>
    <col min="15152" max="15160" width="5.44140625" style="2" bestFit="1" customWidth="1"/>
    <col min="15161" max="15162" width="5.44140625" style="2" customWidth="1"/>
    <col min="15163" max="15163" width="2.77734375" style="2" customWidth="1"/>
    <col min="15164" max="15173" width="3" style="2" bestFit="1" customWidth="1"/>
    <col min="15174" max="15174" width="4" style="2" customWidth="1"/>
    <col min="15175" max="15175" width="4.44140625" style="2" customWidth="1"/>
    <col min="15176" max="15356" width="8.77734375" style="2"/>
    <col min="15357" max="15357" width="4.44140625" style="2" bestFit="1" customWidth="1"/>
    <col min="15358" max="15358" width="22.44140625" style="2" customWidth="1"/>
    <col min="15359" max="15359" width="5.109375" style="2" customWidth="1"/>
    <col min="15360" max="15360" width="6.44140625" style="2" customWidth="1"/>
    <col min="15361" max="15361" width="8.44140625" style="2" customWidth="1"/>
    <col min="15362" max="15366" width="6.44140625" style="2" customWidth="1"/>
    <col min="15367" max="15367" width="9.77734375" style="2" customWidth="1"/>
    <col min="15368" max="15368" width="8.44140625" style="2" customWidth="1"/>
    <col min="15369" max="15370" width="9.44140625" style="2" customWidth="1"/>
    <col min="15371" max="15371" width="8.44140625" style="2" customWidth="1"/>
    <col min="15372" max="15372" width="2.44140625" style="2" customWidth="1"/>
    <col min="15373" max="15373" width="4.77734375" style="2" customWidth="1"/>
    <col min="15374" max="15374" width="6.44140625" style="2" customWidth="1"/>
    <col min="15375" max="15376" width="4" style="2" customWidth="1"/>
    <col min="15377" max="15377" width="5.44140625" style="2" bestFit="1" customWidth="1"/>
    <col min="15378" max="15378" width="4" style="2" customWidth="1"/>
    <col min="15379" max="15379" width="4.77734375" style="2" bestFit="1" customWidth="1"/>
    <col min="15380" max="15380" width="6.77734375" style="2" customWidth="1"/>
    <col min="15381" max="15381" width="8.77734375" style="2"/>
    <col min="15382" max="15392" width="3.44140625" style="2" customWidth="1"/>
    <col min="15393" max="15393" width="5" style="2" customWidth="1"/>
    <col min="15394" max="15397" width="5.44140625" style="2" bestFit="1" customWidth="1"/>
    <col min="15398" max="15399" width="5.109375" style="2" bestFit="1" customWidth="1"/>
    <col min="15400" max="15402" width="5.44140625" style="2" bestFit="1" customWidth="1"/>
    <col min="15403" max="15405" width="5.44140625" style="2" customWidth="1"/>
    <col min="15406" max="15406" width="2.109375" style="2" customWidth="1"/>
    <col min="15407" max="15407" width="3" style="2" bestFit="1" customWidth="1"/>
    <col min="15408" max="15416" width="5.44140625" style="2" bestFit="1" customWidth="1"/>
    <col min="15417" max="15418" width="5.44140625" style="2" customWidth="1"/>
    <col min="15419" max="15419" width="2.77734375" style="2" customWidth="1"/>
    <col min="15420" max="15429" width="3" style="2" bestFit="1" customWidth="1"/>
    <col min="15430" max="15430" width="4" style="2" customWidth="1"/>
    <col min="15431" max="15431" width="4.44140625" style="2" customWidth="1"/>
    <col min="15432" max="15612" width="8.77734375" style="2"/>
    <col min="15613" max="15613" width="4.44140625" style="2" bestFit="1" customWidth="1"/>
    <col min="15614" max="15614" width="22.44140625" style="2" customWidth="1"/>
    <col min="15615" max="15615" width="5.109375" style="2" customWidth="1"/>
    <col min="15616" max="15616" width="6.44140625" style="2" customWidth="1"/>
    <col min="15617" max="15617" width="8.44140625" style="2" customWidth="1"/>
    <col min="15618" max="15622" width="6.44140625" style="2" customWidth="1"/>
    <col min="15623" max="15623" width="9.77734375" style="2" customWidth="1"/>
    <col min="15624" max="15624" width="8.44140625" style="2" customWidth="1"/>
    <col min="15625" max="15626" width="9.44140625" style="2" customWidth="1"/>
    <col min="15627" max="15627" width="8.44140625" style="2" customWidth="1"/>
    <col min="15628" max="15628" width="2.44140625" style="2" customWidth="1"/>
    <col min="15629" max="15629" width="4.77734375" style="2" customWidth="1"/>
    <col min="15630" max="15630" width="6.44140625" style="2" customWidth="1"/>
    <col min="15631" max="15632" width="4" style="2" customWidth="1"/>
    <col min="15633" max="15633" width="5.44140625" style="2" bestFit="1" customWidth="1"/>
    <col min="15634" max="15634" width="4" style="2" customWidth="1"/>
    <col min="15635" max="15635" width="4.77734375" style="2" bestFit="1" customWidth="1"/>
    <col min="15636" max="15636" width="6.77734375" style="2" customWidth="1"/>
    <col min="15637" max="15637" width="8.77734375" style="2"/>
    <col min="15638" max="15648" width="3.44140625" style="2" customWidth="1"/>
    <col min="15649" max="15649" width="5" style="2" customWidth="1"/>
    <col min="15650" max="15653" width="5.44140625" style="2" bestFit="1" customWidth="1"/>
    <col min="15654" max="15655" width="5.109375" style="2" bestFit="1" customWidth="1"/>
    <col min="15656" max="15658" width="5.44140625" style="2" bestFit="1" customWidth="1"/>
    <col min="15659" max="15661" width="5.44140625" style="2" customWidth="1"/>
    <col min="15662" max="15662" width="2.109375" style="2" customWidth="1"/>
    <col min="15663" max="15663" width="3" style="2" bestFit="1" customWidth="1"/>
    <col min="15664" max="15672" width="5.44140625" style="2" bestFit="1" customWidth="1"/>
    <col min="15673" max="15674" width="5.44140625" style="2" customWidth="1"/>
    <col min="15675" max="15675" width="2.77734375" style="2" customWidth="1"/>
    <col min="15676" max="15685" width="3" style="2" bestFit="1" customWidth="1"/>
    <col min="15686" max="15686" width="4" style="2" customWidth="1"/>
    <col min="15687" max="15687" width="4.44140625" style="2" customWidth="1"/>
    <col min="15688" max="15868" width="8.77734375" style="2"/>
    <col min="15869" max="15869" width="4.44140625" style="2" bestFit="1" customWidth="1"/>
    <col min="15870" max="15870" width="22.44140625" style="2" customWidth="1"/>
    <col min="15871" max="15871" width="5.109375" style="2" customWidth="1"/>
    <col min="15872" max="15872" width="6.44140625" style="2" customWidth="1"/>
    <col min="15873" max="15873" width="8.44140625" style="2" customWidth="1"/>
    <col min="15874" max="15878" width="6.44140625" style="2" customWidth="1"/>
    <col min="15879" max="15879" width="9.77734375" style="2" customWidth="1"/>
    <col min="15880" max="15880" width="8.44140625" style="2" customWidth="1"/>
    <col min="15881" max="15882" width="9.44140625" style="2" customWidth="1"/>
    <col min="15883" max="15883" width="8.44140625" style="2" customWidth="1"/>
    <col min="15884" max="15884" width="2.44140625" style="2" customWidth="1"/>
    <col min="15885" max="15885" width="4.77734375" style="2" customWidth="1"/>
    <col min="15886" max="15886" width="6.44140625" style="2" customWidth="1"/>
    <col min="15887" max="15888" width="4" style="2" customWidth="1"/>
    <col min="15889" max="15889" width="5.44140625" style="2" bestFit="1" customWidth="1"/>
    <col min="15890" max="15890" width="4" style="2" customWidth="1"/>
    <col min="15891" max="15891" width="4.77734375" style="2" bestFit="1" customWidth="1"/>
    <col min="15892" max="15892" width="6.77734375" style="2" customWidth="1"/>
    <col min="15893" max="15893" width="8.77734375" style="2"/>
    <col min="15894" max="15904" width="3.44140625" style="2" customWidth="1"/>
    <col min="15905" max="15905" width="5" style="2" customWidth="1"/>
    <col min="15906" max="15909" width="5.44140625" style="2" bestFit="1" customWidth="1"/>
    <col min="15910" max="15911" width="5.109375" style="2" bestFit="1" customWidth="1"/>
    <col min="15912" max="15914" width="5.44140625" style="2" bestFit="1" customWidth="1"/>
    <col min="15915" max="15917" width="5.44140625" style="2" customWidth="1"/>
    <col min="15918" max="15918" width="2.109375" style="2" customWidth="1"/>
    <col min="15919" max="15919" width="3" style="2" bestFit="1" customWidth="1"/>
    <col min="15920" max="15928" width="5.44140625" style="2" bestFit="1" customWidth="1"/>
    <col min="15929" max="15930" width="5.44140625" style="2" customWidth="1"/>
    <col min="15931" max="15931" width="2.77734375" style="2" customWidth="1"/>
    <col min="15932" max="15941" width="3" style="2" bestFit="1" customWidth="1"/>
    <col min="15942" max="15942" width="4" style="2" customWidth="1"/>
    <col min="15943" max="15943" width="4.44140625" style="2" customWidth="1"/>
    <col min="15944" max="16124" width="8.77734375" style="2"/>
    <col min="16125" max="16125" width="4.44140625" style="2" bestFit="1" customWidth="1"/>
    <col min="16126" max="16126" width="22.44140625" style="2" customWidth="1"/>
    <col min="16127" max="16127" width="5.109375" style="2" customWidth="1"/>
    <col min="16128" max="16128" width="6.44140625" style="2" customWidth="1"/>
    <col min="16129" max="16129" width="8.44140625" style="2" customWidth="1"/>
    <col min="16130" max="16134" width="6.44140625" style="2" customWidth="1"/>
    <col min="16135" max="16135" width="9.77734375" style="2" customWidth="1"/>
    <col min="16136" max="16136" width="8.44140625" style="2" customWidth="1"/>
    <col min="16137" max="16138" width="9.44140625" style="2" customWidth="1"/>
    <col min="16139" max="16139" width="8.44140625" style="2" customWidth="1"/>
    <col min="16140" max="16140" width="2.44140625" style="2" customWidth="1"/>
    <col min="16141" max="16141" width="4.77734375" style="2" customWidth="1"/>
    <col min="16142" max="16142" width="6.44140625" style="2" customWidth="1"/>
    <col min="16143" max="16144" width="4" style="2" customWidth="1"/>
    <col min="16145" max="16145" width="5.44140625" style="2" bestFit="1" customWidth="1"/>
    <col min="16146" max="16146" width="4" style="2" customWidth="1"/>
    <col min="16147" max="16147" width="4.77734375" style="2" bestFit="1" customWidth="1"/>
    <col min="16148" max="16148" width="6.77734375" style="2" customWidth="1"/>
    <col min="16149" max="16149" width="8.77734375" style="2"/>
    <col min="16150" max="16160" width="3.44140625" style="2" customWidth="1"/>
    <col min="16161" max="16161" width="5" style="2" customWidth="1"/>
    <col min="16162" max="16165" width="5.44140625" style="2" bestFit="1" customWidth="1"/>
    <col min="16166" max="16167" width="5.109375" style="2" bestFit="1" customWidth="1"/>
    <col min="16168" max="16170" width="5.44140625" style="2" bestFit="1" customWidth="1"/>
    <col min="16171" max="16173" width="5.44140625" style="2" customWidth="1"/>
    <col min="16174" max="16174" width="2.109375" style="2" customWidth="1"/>
    <col min="16175" max="16175" width="3" style="2" bestFit="1" customWidth="1"/>
    <col min="16176" max="16184" width="5.44140625" style="2" bestFit="1" customWidth="1"/>
    <col min="16185" max="16186" width="5.44140625" style="2" customWidth="1"/>
    <col min="16187" max="16187" width="2.77734375" style="2" customWidth="1"/>
    <col min="16188" max="16197" width="3" style="2" bestFit="1" customWidth="1"/>
    <col min="16198" max="16198" width="4" style="2" customWidth="1"/>
    <col min="16199" max="16199" width="4.44140625" style="2" customWidth="1"/>
    <col min="16200" max="16379" width="8.77734375" style="2"/>
    <col min="16380" max="16383" width="8.77734375" style="2" customWidth="1"/>
    <col min="16384" max="16384" width="8.77734375" style="2"/>
  </cols>
  <sheetData>
    <row r="1" spans="1:75" ht="18.45" customHeight="1" x14ac:dyDescent="0.25">
      <c r="A1" s="1"/>
      <c r="B1" s="53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75" ht="18.75" customHeight="1" x14ac:dyDescent="0.25">
      <c r="A2" s="1"/>
      <c r="B2" s="47" t="s">
        <v>1</v>
      </c>
      <c r="C2" s="4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75" ht="18.75" customHeight="1" x14ac:dyDescent="0.25">
      <c r="A3" s="1"/>
      <c r="B3" s="49" t="s">
        <v>2</v>
      </c>
      <c r="C3" s="5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75" ht="18.75" customHeight="1" x14ac:dyDescent="0.25">
      <c r="A4" s="1"/>
      <c r="B4" s="51" t="s">
        <v>3</v>
      </c>
      <c r="C4" s="5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75" ht="18.75" customHeight="1" x14ac:dyDescent="0.25">
      <c r="A5" s="1"/>
      <c r="B5" s="54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75" ht="18.75" customHeight="1" x14ac:dyDescent="0.25">
      <c r="A6" s="1"/>
      <c r="B6" s="47" t="s">
        <v>5</v>
      </c>
      <c r="C6" s="68" t="s">
        <v>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75" ht="18.75" customHeight="1" x14ac:dyDescent="0.25">
      <c r="A7" s="1"/>
      <c r="B7" s="49" t="s">
        <v>7</v>
      </c>
      <c r="C7" s="69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75" ht="18.75" customHeight="1" x14ac:dyDescent="0.25">
      <c r="A8" s="1"/>
      <c r="B8" s="51" t="s">
        <v>9</v>
      </c>
      <c r="C8" s="70" t="s"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75" ht="18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75" ht="73.5" customHeight="1" x14ac:dyDescent="0.25">
      <c r="A10" s="130" t="s">
        <v>11</v>
      </c>
      <c r="B10" s="130"/>
      <c r="C10" s="129" t="s">
        <v>12</v>
      </c>
      <c r="D10" s="129" t="s">
        <v>13</v>
      </c>
      <c r="E10" s="62" t="s">
        <v>14</v>
      </c>
      <c r="F10" s="62" t="s">
        <v>15</v>
      </c>
      <c r="G10" s="62" t="s">
        <v>16</v>
      </c>
      <c r="H10" s="62" t="s">
        <v>17</v>
      </c>
      <c r="I10" s="80" t="s">
        <v>18</v>
      </c>
      <c r="J10" s="62" t="s">
        <v>19</v>
      </c>
      <c r="K10" s="62" t="s">
        <v>20</v>
      </c>
      <c r="L10" s="63" t="s">
        <v>21</v>
      </c>
      <c r="M10" s="81" t="s">
        <v>22</v>
      </c>
      <c r="N10" s="63" t="s">
        <v>23</v>
      </c>
      <c r="O10" s="63" t="s">
        <v>24</v>
      </c>
      <c r="P10" s="63" t="s">
        <v>25</v>
      </c>
      <c r="Q10" s="3"/>
      <c r="R10" s="129" t="s">
        <v>26</v>
      </c>
      <c r="S10" s="129" t="s">
        <v>27</v>
      </c>
      <c r="T10" s="129" t="s">
        <v>28</v>
      </c>
      <c r="U10" s="129" t="s">
        <v>29</v>
      </c>
      <c r="V10" s="129" t="s">
        <v>30</v>
      </c>
      <c r="W10" s="129" t="s">
        <v>31</v>
      </c>
      <c r="X10" s="129" t="s">
        <v>32</v>
      </c>
      <c r="Y10" s="129" t="s">
        <v>33</v>
      </c>
    </row>
    <row r="11" spans="1:75" ht="13.2" x14ac:dyDescent="0.25">
      <c r="A11" s="130"/>
      <c r="B11" s="130"/>
      <c r="C11" s="129"/>
      <c r="D11" s="129"/>
      <c r="E11" s="4" t="s">
        <v>34</v>
      </c>
      <c r="F11" s="4" t="s">
        <v>35</v>
      </c>
      <c r="G11" s="4" t="s">
        <v>36</v>
      </c>
      <c r="H11" s="4" t="s">
        <v>37</v>
      </c>
      <c r="I11" s="4" t="s">
        <v>38</v>
      </c>
      <c r="J11" s="4" t="s">
        <v>39</v>
      </c>
      <c r="K11" s="4" t="s">
        <v>40</v>
      </c>
      <c r="L11" s="4" t="s">
        <v>41</v>
      </c>
      <c r="M11" s="4" t="s">
        <v>42</v>
      </c>
      <c r="N11" s="4" t="s">
        <v>43</v>
      </c>
      <c r="O11" s="4" t="s">
        <v>44</v>
      </c>
      <c r="P11" s="4" t="s">
        <v>45</v>
      </c>
      <c r="Q11" s="5"/>
      <c r="R11" s="129"/>
      <c r="S11" s="129"/>
      <c r="T11" s="129"/>
      <c r="U11" s="129"/>
      <c r="V11" s="129"/>
      <c r="W11" s="129"/>
      <c r="X11" s="129"/>
      <c r="Y11" s="129"/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M11" s="6" t="s">
        <v>34</v>
      </c>
      <c r="AN11" s="6" t="s">
        <v>35</v>
      </c>
      <c r="AO11" s="6" t="s">
        <v>36</v>
      </c>
      <c r="AP11" s="6" t="s">
        <v>37</v>
      </c>
      <c r="AQ11" s="6" t="s">
        <v>38</v>
      </c>
      <c r="AR11" s="6" t="s">
        <v>39</v>
      </c>
      <c r="AS11" s="6" t="s">
        <v>40</v>
      </c>
      <c r="AT11" s="6" t="s">
        <v>41</v>
      </c>
      <c r="AU11" s="6" t="s">
        <v>42</v>
      </c>
      <c r="AV11" s="6" t="s">
        <v>43</v>
      </c>
      <c r="AW11" s="6" t="s">
        <v>44</v>
      </c>
      <c r="AY11" s="7"/>
      <c r="AZ11" s="6" t="s">
        <v>34</v>
      </c>
      <c r="BA11" s="6" t="s">
        <v>35</v>
      </c>
      <c r="BB11" s="6" t="s">
        <v>36</v>
      </c>
      <c r="BC11" s="6" t="s">
        <v>37</v>
      </c>
      <c r="BD11" s="6" t="s">
        <v>38</v>
      </c>
      <c r="BE11" s="6" t="s">
        <v>39</v>
      </c>
      <c r="BF11" s="6" t="s">
        <v>40</v>
      </c>
      <c r="BG11" s="6" t="s">
        <v>41</v>
      </c>
      <c r="BH11" s="6" t="s">
        <v>42</v>
      </c>
      <c r="BI11" s="6" t="s">
        <v>43</v>
      </c>
      <c r="BJ11" s="6" t="s">
        <v>44</v>
      </c>
      <c r="BL11" s="7"/>
      <c r="BM11" s="6" t="s">
        <v>34</v>
      </c>
      <c r="BN11" s="6" t="s">
        <v>35</v>
      </c>
      <c r="BO11" s="6" t="s">
        <v>36</v>
      </c>
      <c r="BP11" s="6" t="s">
        <v>37</v>
      </c>
      <c r="BQ11" s="6" t="s">
        <v>38</v>
      </c>
      <c r="BR11" s="6" t="s">
        <v>39</v>
      </c>
      <c r="BS11" s="6" t="s">
        <v>40</v>
      </c>
      <c r="BT11" s="6" t="s">
        <v>41</v>
      </c>
      <c r="BU11" s="6" t="s">
        <v>42</v>
      </c>
      <c r="BV11" s="6" t="s">
        <v>43</v>
      </c>
      <c r="BW11" s="6" t="s">
        <v>44</v>
      </c>
    </row>
    <row r="12" spans="1:75" ht="14.4" x14ac:dyDescent="0.3">
      <c r="A12" s="55">
        <v>1</v>
      </c>
      <c r="B12" s="56" t="s">
        <v>46</v>
      </c>
      <c r="C12" s="73">
        <v>5</v>
      </c>
      <c r="D12" s="9">
        <f t="shared" ref="D12:D23" si="0">C12/SUM($C$12:$C$23)</f>
        <v>0.11627906976744186</v>
      </c>
      <c r="E12" s="68" t="s">
        <v>6</v>
      </c>
      <c r="F12" s="65"/>
      <c r="G12" s="69" t="s">
        <v>8</v>
      </c>
      <c r="H12" s="64"/>
      <c r="I12" s="66"/>
      <c r="J12" s="65"/>
      <c r="K12" s="65"/>
      <c r="L12" s="64"/>
      <c r="M12" s="64"/>
      <c r="N12" s="68" t="s">
        <v>6</v>
      </c>
      <c r="O12" s="65"/>
      <c r="P12" s="65"/>
      <c r="Q12" s="10"/>
      <c r="R12" s="73">
        <v>5</v>
      </c>
      <c r="S12" s="75">
        <v>4</v>
      </c>
      <c r="T12" s="75">
        <v>5</v>
      </c>
      <c r="U12" s="75">
        <v>5</v>
      </c>
      <c r="V12" s="12">
        <f>U12/R12</f>
        <v>1</v>
      </c>
      <c r="W12" s="73">
        <v>1.5</v>
      </c>
      <c r="X12" s="13">
        <f t="shared" ref="X12:X23" si="1">C12*V12*W12</f>
        <v>7.5</v>
      </c>
      <c r="Y12" s="14">
        <f>X12/SUM($X$12:$X$23)</f>
        <v>0.12096774193548387</v>
      </c>
      <c r="AA12" s="6">
        <f>IF(E12="",0,1)</f>
        <v>1</v>
      </c>
      <c r="AB12" s="6">
        <f t="shared" ref="AB12:AB23" si="2">IF(F12="",0,1)</f>
        <v>0</v>
      </c>
      <c r="AC12" s="6">
        <f t="shared" ref="AC12:AC23" si="3">IF(G12="",0,1)</f>
        <v>1</v>
      </c>
      <c r="AD12" s="6">
        <f t="shared" ref="AD12:AD23" si="4">IF(H12="",0,1)</f>
        <v>0</v>
      </c>
      <c r="AE12" s="6">
        <f t="shared" ref="AE12:AE23" si="5">IF(I12="",0,1)</f>
        <v>0</v>
      </c>
      <c r="AF12" s="6">
        <f t="shared" ref="AF12:AF23" si="6">IF(J12="",0,1)</f>
        <v>0</v>
      </c>
      <c r="AG12" s="6">
        <f t="shared" ref="AG12:AG23" si="7">IF(K12="",0,1)</f>
        <v>0</v>
      </c>
      <c r="AH12" s="6">
        <f t="shared" ref="AH12:AH23" si="8">IF(L12="",0,1)</f>
        <v>0</v>
      </c>
      <c r="AI12" s="6">
        <f t="shared" ref="AI12:AI23" si="9">IF(M12="",0,1)</f>
        <v>0</v>
      </c>
      <c r="AJ12" s="6">
        <f t="shared" ref="AJ12:AJ23" si="10">IF(N12="",0,1)</f>
        <v>1</v>
      </c>
      <c r="AK12" s="6">
        <f t="shared" ref="AK12:AK23" si="11">IF(P12="",0,1)</f>
        <v>0</v>
      </c>
      <c r="AM12" s="15">
        <f t="shared" ref="AM12:AW12" si="12">AA12/SQRT(AA$12^2+AA$13^2+AA$14^2+AA$15^2+AA$16^2+AA$17^2+AA$18^2+AA$19^2+AA$20^2+AA$21^2+AA$22^2+AA$23^2)</f>
        <v>0.5</v>
      </c>
      <c r="AN12" s="15">
        <f t="shared" si="12"/>
        <v>0</v>
      </c>
      <c r="AO12" s="15">
        <f t="shared" si="12"/>
        <v>0.57735026918962584</v>
      </c>
      <c r="AP12" s="15">
        <f t="shared" si="12"/>
        <v>0</v>
      </c>
      <c r="AQ12" s="15">
        <f t="shared" ref="AQ12:AQ18" si="13">AE12/SQRT(AE$12^2+AE$13^2+AE$14^2+AE$15^2+AE$16^2+AE$17^2+AE$18^2+AE$19^2+AE$20^2+AE$21^2+AE$22^2+AE$23^2)</f>
        <v>0</v>
      </c>
      <c r="AR12" s="15">
        <f t="shared" si="12"/>
        <v>0</v>
      </c>
      <c r="AS12" s="15">
        <f t="shared" si="12"/>
        <v>0</v>
      </c>
      <c r="AT12" s="15">
        <f t="shared" si="12"/>
        <v>0</v>
      </c>
      <c r="AU12" s="15">
        <f t="shared" si="12"/>
        <v>0</v>
      </c>
      <c r="AV12" s="15">
        <f>AJ12/SQRT(AJ$12^2+AJ$13^2+AJ$14^2+AJ$15^2+AJ$16^2+AJ$17^2+AJ$18^2+AJ$19^2+AJ$20^2+AJ$21^2+AJ$22^2+AJ$23^2)</f>
        <v>0.5</v>
      </c>
      <c r="AW12" s="15">
        <f t="shared" si="12"/>
        <v>0</v>
      </c>
      <c r="AY12" s="7" t="s">
        <v>34</v>
      </c>
      <c r="AZ12" s="44">
        <f>(AM12*$AM$12)+AM13*$AM$13+AM14*$AM$14+AM15*$AM$15+AM16*$AM$16+AM17*$AM$17+AM18*$AM$18+AM19*$AM$19+AM20*$AM$20+AM21*$AM$21+AM22*$AM$22+AM23*$AM$23</f>
        <v>1</v>
      </c>
      <c r="BA12" s="44">
        <f t="shared" ref="BA12:BJ12" si="14">(AN12*$AM$12)+AN13*$AM$13+AN14*$AM$14+AN15*$AM$15+AN16*$AM$16+AN17*$AM$17+AN18*$AM$18+AN19*$AM$19+AN20*$AM$20+AN21*$AM$21+AN22*$AM$22+AN23*$AM$23</f>
        <v>0.40824829046386307</v>
      </c>
      <c r="BB12" s="44">
        <f t="shared" si="14"/>
        <v>0.86602540378443882</v>
      </c>
      <c r="BC12" s="44">
        <f t="shared" si="14"/>
        <v>0.28867513459481292</v>
      </c>
      <c r="BD12" s="44">
        <f t="shared" si="14"/>
        <v>0.70710678118654746</v>
      </c>
      <c r="BE12" s="44">
        <f t="shared" si="14"/>
        <v>0.28867513459481292</v>
      </c>
      <c r="BF12" s="44">
        <f t="shared" si="14"/>
        <v>0.35355339059327373</v>
      </c>
      <c r="BG12" s="44">
        <f t="shared" si="14"/>
        <v>0</v>
      </c>
      <c r="BH12" s="44">
        <f t="shared" si="14"/>
        <v>0.57735026918962584</v>
      </c>
      <c r="BI12" s="44">
        <f t="shared" si="14"/>
        <v>0.75</v>
      </c>
      <c r="BJ12" s="44">
        <f t="shared" si="14"/>
        <v>0</v>
      </c>
      <c r="BK12" s="44"/>
      <c r="BL12" s="44" t="s">
        <v>34</v>
      </c>
      <c r="BM12" s="16" t="str">
        <f>IF(AZ12&gt;2/3,"yes","")</f>
        <v>yes</v>
      </c>
      <c r="BN12" s="16" t="str">
        <f t="shared" ref="BN12:BW12" si="15">IF(BA12&gt;2/3,"yes","")</f>
        <v/>
      </c>
      <c r="BO12" s="16" t="str">
        <f t="shared" si="15"/>
        <v>yes</v>
      </c>
      <c r="BP12" s="16" t="str">
        <f t="shared" si="15"/>
        <v/>
      </c>
      <c r="BQ12" s="16" t="str">
        <f t="shared" si="15"/>
        <v>yes</v>
      </c>
      <c r="BR12" s="16" t="str">
        <f t="shared" si="15"/>
        <v/>
      </c>
      <c r="BS12" s="16" t="str">
        <f t="shared" si="15"/>
        <v/>
      </c>
      <c r="BT12" s="16" t="str">
        <f t="shared" si="15"/>
        <v/>
      </c>
      <c r="BU12" s="16" t="str">
        <f t="shared" si="15"/>
        <v/>
      </c>
      <c r="BV12" s="16" t="str">
        <f t="shared" si="15"/>
        <v>yes</v>
      </c>
      <c r="BW12" s="16" t="str">
        <f t="shared" si="15"/>
        <v/>
      </c>
    </row>
    <row r="13" spans="1:75" ht="14.4" x14ac:dyDescent="0.3">
      <c r="A13" s="55">
        <v>2</v>
      </c>
      <c r="B13" s="56" t="s">
        <v>47</v>
      </c>
      <c r="C13" s="74">
        <v>5</v>
      </c>
      <c r="D13" s="9">
        <f t="shared" si="0"/>
        <v>0.11627906976744186</v>
      </c>
      <c r="E13" s="64"/>
      <c r="F13" s="68" t="s">
        <v>6</v>
      </c>
      <c r="G13" s="64"/>
      <c r="H13" s="68" t="s">
        <v>6</v>
      </c>
      <c r="I13" s="64"/>
      <c r="J13" s="78" t="s">
        <v>6</v>
      </c>
      <c r="K13" s="65"/>
      <c r="L13" s="65"/>
      <c r="M13" s="64"/>
      <c r="N13" s="68" t="s">
        <v>6</v>
      </c>
      <c r="O13" s="67"/>
      <c r="P13" s="67"/>
      <c r="Q13" s="17"/>
      <c r="R13" s="74">
        <v>4</v>
      </c>
      <c r="S13" s="76">
        <v>4</v>
      </c>
      <c r="T13" s="76">
        <v>5</v>
      </c>
      <c r="U13" s="76">
        <v>5</v>
      </c>
      <c r="V13" s="12">
        <f t="shared" ref="V13:V21" si="16">U13/R13</f>
        <v>1.25</v>
      </c>
      <c r="W13" s="74">
        <v>1.2</v>
      </c>
      <c r="X13" s="13">
        <f>C13*V13*W13</f>
        <v>7.5</v>
      </c>
      <c r="Y13" s="14">
        <f t="shared" ref="Y13:Y24" si="17">X13/SUM($X$12:$X$23)</f>
        <v>0.12096774193548387</v>
      </c>
      <c r="AA13" s="6">
        <f t="shared" ref="AA13:AA23" si="18">IF(E13="",0,1)</f>
        <v>0</v>
      </c>
      <c r="AB13" s="6">
        <f t="shared" si="2"/>
        <v>1</v>
      </c>
      <c r="AC13" s="6">
        <f t="shared" si="3"/>
        <v>0</v>
      </c>
      <c r="AD13" s="6">
        <f t="shared" si="4"/>
        <v>1</v>
      </c>
      <c r="AE13" s="6">
        <f t="shared" si="5"/>
        <v>0</v>
      </c>
      <c r="AF13" s="6">
        <f t="shared" si="6"/>
        <v>1</v>
      </c>
      <c r="AG13" s="6">
        <f t="shared" si="7"/>
        <v>0</v>
      </c>
      <c r="AH13" s="6">
        <f t="shared" si="8"/>
        <v>0</v>
      </c>
      <c r="AI13" s="6">
        <f t="shared" si="9"/>
        <v>0</v>
      </c>
      <c r="AJ13" s="6">
        <f t="shared" si="10"/>
        <v>1</v>
      </c>
      <c r="AK13" s="6">
        <f t="shared" si="11"/>
        <v>0</v>
      </c>
      <c r="AM13" s="15">
        <f>AA13/SQRT(AA$12^2+AA$13^2+AA$14^2+AA$15^2+AA$16^2+AA$17^2+AA$18^2+AA$19^2+AA$20^2+AA$21^2+AA$22^2+AA$23^2)</f>
        <v>0</v>
      </c>
      <c r="AN13" s="15">
        <f t="shared" ref="AN13:AN23" si="19">AB13/SQRT(AB$12^2+AB$13^2+AB$14^2+AB$15^2+AB$16^2+AB$17^2+AB$18^2+AB$19^2+AB$20^2+AB$21^2+AB$22^2+AB$23^2)</f>
        <v>0.40824829046386307</v>
      </c>
      <c r="AO13" s="15">
        <f t="shared" ref="AO13:AO23" si="20">AC13/SQRT(AC$12^2+AC$13^2+AC$14^2+AC$15^2+AC$16^2+AC$17^2+AC$18^2+AC$19^2+AC$20^2+AC$21^2+AC$22^2+AC$23^2)</f>
        <v>0</v>
      </c>
      <c r="AP13" s="15">
        <f t="shared" ref="AP13:AP22" si="21">AD13/SQRT(AD$12^2+AD$13^2+AD$14^2+AD$15^2+AD$16^2+AD$17^2+AD$18^2+AD$19^2+AD$20^2+AD$21^2+AD$22^2+AD$23^2)</f>
        <v>0.57735026918962584</v>
      </c>
      <c r="AQ13" s="15">
        <f t="shared" si="13"/>
        <v>0</v>
      </c>
      <c r="AR13" s="15">
        <f t="shared" ref="AR13:AR23" si="22">AF13/SQRT(AF$12^2+AF$13^2+AF$14^2+AF$15^2+AF$16^2+AF$17^2+AF$18^2+AF$19^2+AF$20^2+AF$21^2+AF$22^2+AF$23^2)</f>
        <v>0.57735026918962584</v>
      </c>
      <c r="AS13" s="15">
        <f t="shared" ref="AS13:AS23" si="23">AG13/SQRT(AG$12^2+AG$13^2+AG$14^2+AG$15^2+AG$16^2+AG$17^2+AG$18^2+AG$19^2+AG$20^2+AG$21^2+AG$22^2+AG$23^2)</f>
        <v>0</v>
      </c>
      <c r="AT13" s="15">
        <f t="shared" ref="AT13:AT23" si="24">AH13/SQRT(AH$12^2+AH$13^2+AH$14^2+AH$15^2+AH$16^2+AH$17^2+AH$18^2+AH$19^2+AH$20^2+AH$21^2+AH$22^2+AH$23^2)</f>
        <v>0</v>
      </c>
      <c r="AU13" s="15">
        <f t="shared" ref="AU13:AU23" si="25">AI13/SQRT(AI$12^2+AI$13^2+AI$14^2+AI$15^2+AI$16^2+AI$17^2+AI$18^2+AI$19^2+AI$20^2+AI$21^2+AI$22^2+AI$23^2)</f>
        <v>0</v>
      </c>
      <c r="AV13" s="15">
        <f>AJ13/SQRT(AJ$12^2+AJ$13^2+AJ$14^2+AJ$15^2+AJ$16^2+AJ$17^2+AJ$18^2+AJ$19^2+AJ$20^2+AJ$21^2+AJ$22^2+AJ$23^2)</f>
        <v>0.5</v>
      </c>
      <c r="AW13" s="15">
        <f t="shared" ref="AW13:AW23" si="26">AK13/SQRT(AK$12^2+AK$13^2+AK$14^2+AK$15^2+AK$16^2+AK$17^2+AK$18^2+AK$19^2+AK$20^2+AK$21^2+AK$22^2+AK$23^2)</f>
        <v>0</v>
      </c>
      <c r="AY13" s="7" t="s">
        <v>35</v>
      </c>
      <c r="AZ13" s="44">
        <f>(AM12*$AN$12)+AM13*$AN$13++AM14*$AN$14+AM15*$AN$15+AM16*$AN$16+AM17*$AN$17+AM18*$AN$18+AM19*$AN$19+AM20*$AN$20+AM21*$AN$21+AM22*$AN$22+AM23*$AN$23</f>
        <v>0.40824829046386307</v>
      </c>
      <c r="BA13" s="44">
        <f t="shared" ref="BA13:BJ13" si="27">(AN12*$AN$12)+AN13*$AN$13++AN14*$AN$14+AN15*$AN$15+AN16*$AN$16+AN17*$AN$17+AN18*$AN$18+AN19*$AN$19+AN20*$AN$20+AN21*$AN$21+AN22*$AN$22+AN23*$AN$23</f>
        <v>1.0000000000000002</v>
      </c>
      <c r="BB13" s="44">
        <f t="shared" si="27"/>
        <v>0.23570226039551589</v>
      </c>
      <c r="BC13" s="44">
        <f t="shared" si="27"/>
        <v>0.47140452079103179</v>
      </c>
      <c r="BD13" s="44">
        <f t="shared" si="27"/>
        <v>0.57735026918962584</v>
      </c>
      <c r="BE13" s="44">
        <f t="shared" si="27"/>
        <v>0.70710678118654768</v>
      </c>
      <c r="BF13" s="44">
        <f t="shared" si="27"/>
        <v>0.57735026918962584</v>
      </c>
      <c r="BG13" s="44">
        <f t="shared" si="27"/>
        <v>0.57735026918962584</v>
      </c>
      <c r="BH13" s="44">
        <f t="shared" si="27"/>
        <v>0.70710678118654768</v>
      </c>
      <c r="BI13" s="44">
        <f t="shared" si="27"/>
        <v>0.40824829046386307</v>
      </c>
      <c r="BJ13" s="44">
        <f t="shared" si="27"/>
        <v>0</v>
      </c>
      <c r="BL13" s="44" t="s">
        <v>35</v>
      </c>
      <c r="BM13" s="16" t="str">
        <f t="shared" ref="BM13:BM22" si="28">IF(AZ13&gt;2/3,"yes","")</f>
        <v/>
      </c>
      <c r="BN13" s="16" t="str">
        <f t="shared" ref="BN13:BN22" si="29">IF(BA13&gt;2/3,"yes","")</f>
        <v>yes</v>
      </c>
      <c r="BO13" s="16" t="str">
        <f t="shared" ref="BO13:BO22" si="30">IF(BB13&gt;2/3,"yes","")</f>
        <v/>
      </c>
      <c r="BP13" s="16" t="str">
        <f t="shared" ref="BP13:BP22" si="31">IF(BC13&gt;2/3,"yes","")</f>
        <v/>
      </c>
      <c r="BQ13" s="16" t="str">
        <f t="shared" ref="BQ13:BQ22" si="32">IF(BD13&gt;2/3,"yes","")</f>
        <v/>
      </c>
      <c r="BR13" s="16" t="str">
        <f t="shared" ref="BR13:BR22" si="33">IF(BE13&gt;2/3,"yes","")</f>
        <v>yes</v>
      </c>
      <c r="BS13" s="16" t="str">
        <f t="shared" ref="BS13:BS22" si="34">IF(BF13&gt;2/3,"yes","")</f>
        <v/>
      </c>
      <c r="BT13" s="16" t="str">
        <f t="shared" ref="BT13:BT22" si="35">IF(BG13&gt;2/3,"yes","")</f>
        <v/>
      </c>
      <c r="BU13" s="16" t="str">
        <f t="shared" ref="BU13:BU22" si="36">IF(BH13&gt;2/3,"yes","")</f>
        <v>yes</v>
      </c>
      <c r="BV13" s="16" t="str">
        <f t="shared" ref="BV13:BV22" si="37">IF(BI13&gt;2/3,"yes","")</f>
        <v/>
      </c>
      <c r="BW13" s="16" t="str">
        <f t="shared" ref="BW13:BW22" si="38">IF(BJ13&gt;2/3,"yes","")</f>
        <v/>
      </c>
    </row>
    <row r="14" spans="1:75" ht="14.4" x14ac:dyDescent="0.3">
      <c r="A14" s="55">
        <v>3</v>
      </c>
      <c r="B14" s="56" t="s">
        <v>48</v>
      </c>
      <c r="C14" s="74">
        <v>4</v>
      </c>
      <c r="D14" s="9">
        <f t="shared" si="0"/>
        <v>9.3023255813953487E-2</v>
      </c>
      <c r="E14" s="67"/>
      <c r="F14" s="68" t="s">
        <v>6</v>
      </c>
      <c r="G14" s="64"/>
      <c r="H14" s="64"/>
      <c r="I14" s="64"/>
      <c r="J14" s="69" t="s">
        <v>8</v>
      </c>
      <c r="K14" s="68" t="s">
        <v>6</v>
      </c>
      <c r="L14" s="68" t="s">
        <v>6</v>
      </c>
      <c r="M14" s="68" t="s">
        <v>6</v>
      </c>
      <c r="N14" s="64"/>
      <c r="O14" s="67"/>
      <c r="P14" s="67"/>
      <c r="Q14" s="10"/>
      <c r="R14" s="74">
        <v>3</v>
      </c>
      <c r="S14" s="77">
        <v>2</v>
      </c>
      <c r="T14" s="74">
        <v>4</v>
      </c>
      <c r="U14" s="76">
        <v>4</v>
      </c>
      <c r="V14" s="12">
        <f t="shared" si="16"/>
        <v>1.3333333333333333</v>
      </c>
      <c r="W14" s="74">
        <v>1.2</v>
      </c>
      <c r="X14" s="13">
        <f t="shared" si="1"/>
        <v>6.3999999999999995</v>
      </c>
      <c r="Y14" s="14">
        <f t="shared" si="17"/>
        <v>0.10322580645161289</v>
      </c>
      <c r="AA14" s="6">
        <f t="shared" si="18"/>
        <v>0</v>
      </c>
      <c r="AB14" s="6">
        <f t="shared" si="2"/>
        <v>1</v>
      </c>
      <c r="AC14" s="6">
        <f t="shared" si="3"/>
        <v>0</v>
      </c>
      <c r="AD14" s="6">
        <f t="shared" si="4"/>
        <v>0</v>
      </c>
      <c r="AE14" s="6">
        <f t="shared" si="5"/>
        <v>0</v>
      </c>
      <c r="AF14" s="6">
        <f t="shared" si="6"/>
        <v>1</v>
      </c>
      <c r="AG14" s="6">
        <f t="shared" si="7"/>
        <v>1</v>
      </c>
      <c r="AH14" s="6">
        <f t="shared" si="8"/>
        <v>1</v>
      </c>
      <c r="AI14" s="6">
        <f t="shared" si="9"/>
        <v>1</v>
      </c>
      <c r="AJ14" s="6">
        <f t="shared" si="10"/>
        <v>0</v>
      </c>
      <c r="AK14" s="6">
        <f t="shared" si="11"/>
        <v>0</v>
      </c>
      <c r="AM14" s="15">
        <f>AA14/SQRT(AA$12^2+AA$13^2+AA$14^2+AA$15^2+AA$16^2+AA$17^2+AA$18^2+AA$19^2+AA$20^2+AA$21^2+AA$22^2+AA$23^2)</f>
        <v>0</v>
      </c>
      <c r="AN14" s="15">
        <f t="shared" si="19"/>
        <v>0.40824829046386307</v>
      </c>
      <c r="AO14" s="15">
        <f t="shared" si="20"/>
        <v>0</v>
      </c>
      <c r="AP14" s="15">
        <f t="shared" si="21"/>
        <v>0</v>
      </c>
      <c r="AQ14" s="15">
        <f t="shared" si="13"/>
        <v>0</v>
      </c>
      <c r="AR14" s="15">
        <f t="shared" si="22"/>
        <v>0.57735026918962584</v>
      </c>
      <c r="AS14" s="15">
        <f t="shared" si="23"/>
        <v>0.70710678118654746</v>
      </c>
      <c r="AT14" s="15">
        <f t="shared" si="24"/>
        <v>0.70710678118654746</v>
      </c>
      <c r="AU14" s="15">
        <f t="shared" si="25"/>
        <v>0.57735026918962584</v>
      </c>
      <c r="AV14" s="15">
        <f t="shared" ref="AV14:AV19" si="39">AJ14/SQRT(AJ$12^2+AJ$13^2+AJ$14^2+AJ$15^2+AJ$16^2+AJ$17^2+AJ$18^2+AJ$19^2+AJ$20^2+AJ$21^2+AJ$22^2+AJ$23^2)</f>
        <v>0</v>
      </c>
      <c r="AW14" s="15">
        <f t="shared" si="26"/>
        <v>0</v>
      </c>
      <c r="AY14" s="7" t="s">
        <v>36</v>
      </c>
      <c r="AZ14" s="44">
        <f>AM12*$AO$12+AM13*$AO$13+AM14*$AO$14+AM15*$AO$15+AM16*$AO$16+AM17*$AO$17+AM18*$AO$18+AM19*$AO$19+AM20*$AO$20+AM21*$AO$21+AM22*$AO$22+AM23*$AO$23</f>
        <v>0.86602540378443882</v>
      </c>
      <c r="BA14" s="44">
        <f t="shared" ref="BA14:BJ14" si="40">AN12*$AO$12+AN13*$AO$13+AN14*$AO$14+AN15*$AO$15+AN16*$AO$16+AN17*$AO$17+AN18*$AO$18+AN19*$AO$19+AN20*$AO$20+AN21*$AO$21+AN22*$AO$22+AN23*$AO$23</f>
        <v>0.23570226039551589</v>
      </c>
      <c r="BB14" s="44">
        <f t="shared" si="40"/>
        <v>1.0000000000000002</v>
      </c>
      <c r="BC14" s="44">
        <f t="shared" si="40"/>
        <v>0.33333333333333343</v>
      </c>
      <c r="BD14" s="44">
        <f t="shared" si="40"/>
        <v>0.40824829046386302</v>
      </c>
      <c r="BE14" s="44">
        <f t="shared" si="40"/>
        <v>0.33333333333333343</v>
      </c>
      <c r="BF14" s="44">
        <f t="shared" si="40"/>
        <v>0.40824829046386302</v>
      </c>
      <c r="BG14" s="44">
        <f t="shared" si="40"/>
        <v>0</v>
      </c>
      <c r="BH14" s="44">
        <f t="shared" si="40"/>
        <v>0.33333333333333343</v>
      </c>
      <c r="BI14" s="44">
        <f t="shared" si="40"/>
        <v>0.86602540378443882</v>
      </c>
      <c r="BJ14" s="44">
        <f t="shared" si="40"/>
        <v>0</v>
      </c>
      <c r="BL14" s="44" t="s">
        <v>36</v>
      </c>
      <c r="BM14" s="16" t="str">
        <f t="shared" si="28"/>
        <v>yes</v>
      </c>
      <c r="BN14" s="16" t="str">
        <f t="shared" si="29"/>
        <v/>
      </c>
      <c r="BO14" s="16" t="str">
        <f t="shared" si="30"/>
        <v>yes</v>
      </c>
      <c r="BP14" s="16" t="str">
        <f t="shared" si="31"/>
        <v/>
      </c>
      <c r="BQ14" s="16" t="str">
        <f t="shared" si="32"/>
        <v/>
      </c>
      <c r="BR14" s="16" t="str">
        <f t="shared" si="33"/>
        <v/>
      </c>
      <c r="BS14" s="16" t="str">
        <f t="shared" si="34"/>
        <v/>
      </c>
      <c r="BT14" s="16" t="str">
        <f t="shared" si="35"/>
        <v/>
      </c>
      <c r="BU14" s="16" t="str">
        <f t="shared" si="36"/>
        <v/>
      </c>
      <c r="BV14" s="16" t="str">
        <f t="shared" si="37"/>
        <v>yes</v>
      </c>
      <c r="BW14" s="16" t="str">
        <f t="shared" si="38"/>
        <v/>
      </c>
    </row>
    <row r="15" spans="1:75" ht="14.4" x14ac:dyDescent="0.3">
      <c r="A15" s="55">
        <v>4</v>
      </c>
      <c r="B15" s="56" t="s">
        <v>49</v>
      </c>
      <c r="C15" s="74">
        <v>4</v>
      </c>
      <c r="D15" s="9">
        <f t="shared" si="0"/>
        <v>9.3023255813953487E-2</v>
      </c>
      <c r="E15" s="67"/>
      <c r="F15" s="68" t="s">
        <v>6</v>
      </c>
      <c r="G15" s="67"/>
      <c r="H15" s="67"/>
      <c r="I15" s="67"/>
      <c r="J15" s="67"/>
      <c r="K15" s="64"/>
      <c r="L15" s="65"/>
      <c r="M15" s="64"/>
      <c r="N15" s="65"/>
      <c r="O15" s="64"/>
      <c r="P15" s="64"/>
      <c r="Q15" s="10"/>
      <c r="R15" s="74">
        <v>4</v>
      </c>
      <c r="S15" s="75">
        <v>5</v>
      </c>
      <c r="T15" s="76">
        <v>5</v>
      </c>
      <c r="U15" s="76">
        <v>4</v>
      </c>
      <c r="V15" s="12">
        <f>U15/R15</f>
        <v>1</v>
      </c>
      <c r="W15" s="74">
        <v>1</v>
      </c>
      <c r="X15" s="13">
        <f t="shared" si="1"/>
        <v>4</v>
      </c>
      <c r="Y15" s="14">
        <f t="shared" si="17"/>
        <v>6.4516129032258063E-2</v>
      </c>
      <c r="AA15" s="6">
        <f t="shared" si="18"/>
        <v>0</v>
      </c>
      <c r="AB15" s="6">
        <f t="shared" si="2"/>
        <v>1</v>
      </c>
      <c r="AC15" s="6">
        <f t="shared" si="3"/>
        <v>0</v>
      </c>
      <c r="AD15" s="6">
        <f t="shared" si="4"/>
        <v>0</v>
      </c>
      <c r="AE15" s="6">
        <f t="shared" si="5"/>
        <v>0</v>
      </c>
      <c r="AF15" s="6">
        <f t="shared" si="6"/>
        <v>0</v>
      </c>
      <c r="AG15" s="6">
        <f t="shared" si="7"/>
        <v>0</v>
      </c>
      <c r="AH15" s="6">
        <f t="shared" si="8"/>
        <v>0</v>
      </c>
      <c r="AI15" s="6">
        <f t="shared" si="9"/>
        <v>0</v>
      </c>
      <c r="AJ15" s="6">
        <f t="shared" si="10"/>
        <v>0</v>
      </c>
      <c r="AK15" s="6">
        <f t="shared" si="11"/>
        <v>0</v>
      </c>
      <c r="AM15" s="15">
        <f t="shared" ref="AM15:AM23" si="41">AA15/SQRT(AA$12^2+AA$13^2+AA$14^2+AA$15^2+AA$16^2+AA$17^2+AA$18^2+AA$19^2+AA$20^2+AA$21^2+AA$22^2+AA$23^2)</f>
        <v>0</v>
      </c>
      <c r="AN15" s="15">
        <f t="shared" si="19"/>
        <v>0.40824829046386307</v>
      </c>
      <c r="AO15" s="15">
        <f t="shared" si="20"/>
        <v>0</v>
      </c>
      <c r="AP15" s="15">
        <f t="shared" si="21"/>
        <v>0</v>
      </c>
      <c r="AQ15" s="15">
        <f t="shared" si="13"/>
        <v>0</v>
      </c>
      <c r="AR15" s="15">
        <f t="shared" si="22"/>
        <v>0</v>
      </c>
      <c r="AS15" s="15">
        <f t="shared" si="23"/>
        <v>0</v>
      </c>
      <c r="AT15" s="15">
        <f t="shared" si="24"/>
        <v>0</v>
      </c>
      <c r="AU15" s="15">
        <f t="shared" si="25"/>
        <v>0</v>
      </c>
      <c r="AV15" s="15">
        <f>AJ15/SQRT(AJ$12^2+AJ$13^2+AJ$14^2+AJ$15^2+AJ$16^2+AJ$17^2+AJ$18^2+AJ$19^2+AJ$20^2+AJ$21^2+AJ$22^2+AJ$23^2)</f>
        <v>0</v>
      </c>
      <c r="AW15" s="15">
        <f t="shared" si="26"/>
        <v>0</v>
      </c>
      <c r="AY15" s="43" t="s">
        <v>37</v>
      </c>
      <c r="AZ15" s="44">
        <f>AM12*$AP$12+AM13*$AP$13+AM14*$AP$14+AM15*$AP$15+AM16*$AP$16+AM17*$AP$17+AM18*$AP$18+AM19*$AP$19+AM20*$AP$20+AM21*$AP$21+AM22*$AP$22+AM23*$AP$23</f>
        <v>0.28867513459481292</v>
      </c>
      <c r="BA15" s="44">
        <f t="shared" ref="BA15:BJ15" si="42">AN12*$AP$12+AN13*$AP$13+AN14*$AP$14+AN15*$AP$15+AN16*$AP$16+AN17*$AP$17+AN18*$AP$18+AN19*$AP$19+AN20*$AP$20+AN21*$AP$21+AN22*$AP$22+AN23*$AP$23</f>
        <v>0.47140452079103179</v>
      </c>
      <c r="BB15" s="44">
        <f t="shared" si="42"/>
        <v>0.33333333333333343</v>
      </c>
      <c r="BC15" s="44">
        <f t="shared" si="42"/>
        <v>1.0000000000000002</v>
      </c>
      <c r="BD15" s="44">
        <f t="shared" si="42"/>
        <v>0.40824829046386302</v>
      </c>
      <c r="BE15" s="44">
        <f t="shared" si="42"/>
        <v>0.66666666666666685</v>
      </c>
      <c r="BF15" s="44">
        <f t="shared" si="42"/>
        <v>0.40824829046386302</v>
      </c>
      <c r="BG15" s="44">
        <f t="shared" si="42"/>
        <v>0</v>
      </c>
      <c r="BH15" s="44">
        <f t="shared" si="42"/>
        <v>0.33333333333333343</v>
      </c>
      <c r="BI15" s="44">
        <f t="shared" si="42"/>
        <v>0.57735026918962584</v>
      </c>
      <c r="BJ15" s="44">
        <f t="shared" si="42"/>
        <v>0</v>
      </c>
      <c r="BL15" s="6" t="s">
        <v>37</v>
      </c>
      <c r="BM15" s="16" t="str">
        <f t="shared" si="28"/>
        <v/>
      </c>
      <c r="BN15" s="16" t="str">
        <f t="shared" si="29"/>
        <v/>
      </c>
      <c r="BO15" s="16" t="str">
        <f t="shared" si="30"/>
        <v/>
      </c>
      <c r="BP15" s="16" t="str">
        <f t="shared" si="31"/>
        <v>yes</v>
      </c>
      <c r="BQ15" s="16" t="str">
        <f t="shared" si="32"/>
        <v/>
      </c>
      <c r="BR15" s="16" t="str">
        <f t="shared" si="33"/>
        <v/>
      </c>
      <c r="BS15" s="16" t="str">
        <f t="shared" si="34"/>
        <v/>
      </c>
      <c r="BT15" s="16" t="str">
        <f t="shared" si="35"/>
        <v/>
      </c>
      <c r="BU15" s="16" t="str">
        <f t="shared" si="36"/>
        <v/>
      </c>
      <c r="BV15" s="16" t="str">
        <f t="shared" si="37"/>
        <v/>
      </c>
      <c r="BW15" s="16" t="str">
        <f t="shared" si="38"/>
        <v/>
      </c>
    </row>
    <row r="16" spans="1:75" ht="14.4" x14ac:dyDescent="0.3">
      <c r="A16" s="40">
        <v>5</v>
      </c>
      <c r="B16" s="57" t="s">
        <v>50</v>
      </c>
      <c r="C16" s="74">
        <v>5</v>
      </c>
      <c r="D16" s="9">
        <f t="shared" si="0"/>
        <v>0.11627906976744186</v>
      </c>
      <c r="E16" s="69" t="s">
        <v>8</v>
      </c>
      <c r="F16" s="64"/>
      <c r="G16" s="68" t="s">
        <v>6</v>
      </c>
      <c r="H16" s="67"/>
      <c r="I16" s="67"/>
      <c r="J16" s="64"/>
      <c r="K16" s="64"/>
      <c r="L16" s="64"/>
      <c r="M16" s="67"/>
      <c r="N16" s="68" t="s">
        <v>6</v>
      </c>
      <c r="O16" s="65"/>
      <c r="P16" s="65"/>
      <c r="Q16" s="17"/>
      <c r="R16" s="74">
        <v>3</v>
      </c>
      <c r="S16" s="76">
        <v>5</v>
      </c>
      <c r="T16" s="76">
        <v>5</v>
      </c>
      <c r="U16" s="76">
        <v>4</v>
      </c>
      <c r="V16" s="12">
        <f>U16/R16</f>
        <v>1.3333333333333333</v>
      </c>
      <c r="W16" s="73">
        <v>1.5</v>
      </c>
      <c r="X16" s="13">
        <f>C16*V16*W16</f>
        <v>10</v>
      </c>
      <c r="Y16" s="14">
        <f t="shared" si="17"/>
        <v>0.16129032258064516</v>
      </c>
      <c r="AA16" s="6">
        <f t="shared" si="18"/>
        <v>1</v>
      </c>
      <c r="AB16" s="6">
        <f t="shared" si="2"/>
        <v>0</v>
      </c>
      <c r="AC16" s="6">
        <f t="shared" si="3"/>
        <v>1</v>
      </c>
      <c r="AD16" s="6">
        <f t="shared" si="4"/>
        <v>0</v>
      </c>
      <c r="AE16" s="6">
        <f t="shared" si="5"/>
        <v>0</v>
      </c>
      <c r="AF16" s="6">
        <f t="shared" si="6"/>
        <v>0</v>
      </c>
      <c r="AG16" s="6">
        <f t="shared" si="7"/>
        <v>0</v>
      </c>
      <c r="AH16" s="6">
        <f t="shared" si="8"/>
        <v>0</v>
      </c>
      <c r="AI16" s="6">
        <f t="shared" si="9"/>
        <v>0</v>
      </c>
      <c r="AJ16" s="6">
        <f t="shared" si="10"/>
        <v>1</v>
      </c>
      <c r="AK16" s="6">
        <f t="shared" si="11"/>
        <v>0</v>
      </c>
      <c r="AM16" s="15">
        <f t="shared" si="41"/>
        <v>0.5</v>
      </c>
      <c r="AN16" s="15">
        <f t="shared" si="19"/>
        <v>0</v>
      </c>
      <c r="AO16" s="15">
        <f t="shared" si="20"/>
        <v>0.57735026918962584</v>
      </c>
      <c r="AP16" s="15">
        <f t="shared" si="21"/>
        <v>0</v>
      </c>
      <c r="AQ16" s="15">
        <f t="shared" si="13"/>
        <v>0</v>
      </c>
      <c r="AR16" s="15">
        <f t="shared" si="22"/>
        <v>0</v>
      </c>
      <c r="AS16" s="15">
        <f t="shared" si="23"/>
        <v>0</v>
      </c>
      <c r="AT16" s="15">
        <f t="shared" si="24"/>
        <v>0</v>
      </c>
      <c r="AU16" s="15">
        <f t="shared" si="25"/>
        <v>0</v>
      </c>
      <c r="AV16" s="15">
        <f>AJ16/SQRT(AJ$12^2+AJ$13^2+AJ$14^2+AJ$15^2+AJ$16^2+AJ$17^2+AJ$18^2+AJ$19^2+AJ$20^2+AJ$21^2+AJ$22^2+AJ$23^2)</f>
        <v>0.5</v>
      </c>
      <c r="AW16" s="15">
        <f t="shared" si="26"/>
        <v>0</v>
      </c>
      <c r="AY16" s="7" t="s">
        <v>38</v>
      </c>
      <c r="AZ16" s="44">
        <f>AM12*$AQ$12+AM13*$AQ$13+AM14*$AQ$14+AM15*$AQ$15+AM16*$AQ$16+AM17*$AQ$17+AM18*$AQ$18+AM19*$AQ$19+AM20*$AQ$20+AM21*$AQ$21+AM22*$AQ$22+AM23*$AQ$23</f>
        <v>0.70710678118654746</v>
      </c>
      <c r="BA16" s="44">
        <f t="shared" ref="BA16:BJ16" si="43">AN12*$AQ$12+AN13*$AQ$13+AN14*$AQ$14+AN15*$AQ$15+AN16*$AQ$16+AN17*$AQ$17+AN18*$AQ$18+AN19*$AQ$19+AN20*$AQ$20+AN21*$AQ$21+AN22*$AQ$22+AN23*$AQ$23</f>
        <v>0.57735026918962584</v>
      </c>
      <c r="BB16" s="44">
        <f t="shared" si="43"/>
        <v>0.40824829046386302</v>
      </c>
      <c r="BC16" s="44">
        <f t="shared" si="43"/>
        <v>0.40824829046386302</v>
      </c>
      <c r="BD16" s="44">
        <f t="shared" si="43"/>
        <v>0.99999999999999978</v>
      </c>
      <c r="BE16" s="44">
        <f t="shared" si="43"/>
        <v>0.40824829046386302</v>
      </c>
      <c r="BF16" s="44">
        <f t="shared" si="43"/>
        <v>0.49999999999999989</v>
      </c>
      <c r="BG16" s="44">
        <f t="shared" si="43"/>
        <v>0</v>
      </c>
      <c r="BH16" s="44">
        <f t="shared" si="43"/>
        <v>0.81649658092772603</v>
      </c>
      <c r="BI16" s="44">
        <f t="shared" si="43"/>
        <v>0.35355339059327373</v>
      </c>
      <c r="BJ16" s="44">
        <f t="shared" si="43"/>
        <v>0</v>
      </c>
      <c r="BL16" s="44" t="s">
        <v>38</v>
      </c>
      <c r="BM16" s="16" t="str">
        <f t="shared" si="28"/>
        <v>yes</v>
      </c>
      <c r="BN16" s="16" t="str">
        <f t="shared" si="29"/>
        <v/>
      </c>
      <c r="BO16" s="16" t="str">
        <f t="shared" si="30"/>
        <v/>
      </c>
      <c r="BP16" s="16" t="str">
        <f t="shared" si="31"/>
        <v/>
      </c>
      <c r="BQ16" s="16" t="str">
        <f t="shared" si="32"/>
        <v>yes</v>
      </c>
      <c r="BR16" s="16" t="str">
        <f t="shared" si="33"/>
        <v/>
      </c>
      <c r="BS16" s="16" t="str">
        <f t="shared" si="34"/>
        <v/>
      </c>
      <c r="BT16" s="16" t="str">
        <f t="shared" si="35"/>
        <v/>
      </c>
      <c r="BU16" s="16" t="str">
        <f>IF(BH16&gt;2/3,"yes","")</f>
        <v>yes</v>
      </c>
      <c r="BV16" s="16" t="str">
        <f t="shared" si="37"/>
        <v/>
      </c>
      <c r="BW16" s="16" t="str">
        <f t="shared" si="38"/>
        <v/>
      </c>
    </row>
    <row r="17" spans="1:75" ht="14.4" x14ac:dyDescent="0.3">
      <c r="A17" s="40">
        <v>6</v>
      </c>
      <c r="B17" s="57" t="s">
        <v>51</v>
      </c>
      <c r="C17" s="74">
        <v>4</v>
      </c>
      <c r="D17" s="9">
        <f t="shared" si="0"/>
        <v>9.3023255813953487E-2</v>
      </c>
      <c r="E17" s="68" t="s">
        <v>6</v>
      </c>
      <c r="F17" s="69" t="s">
        <v>8</v>
      </c>
      <c r="G17" s="68" t="s">
        <v>6</v>
      </c>
      <c r="H17" s="69" t="s">
        <v>8</v>
      </c>
      <c r="I17" s="68" t="s">
        <v>6</v>
      </c>
      <c r="J17" s="68" t="s">
        <v>6</v>
      </c>
      <c r="K17" s="68" t="s">
        <v>6</v>
      </c>
      <c r="L17" s="64"/>
      <c r="M17" s="78" t="s">
        <v>6</v>
      </c>
      <c r="N17" s="116" t="s">
        <v>8</v>
      </c>
      <c r="O17" s="65"/>
      <c r="P17" s="65"/>
      <c r="Q17" s="17"/>
      <c r="R17" s="74">
        <v>5</v>
      </c>
      <c r="S17" s="76">
        <v>2</v>
      </c>
      <c r="T17" s="76">
        <v>4</v>
      </c>
      <c r="U17" s="76">
        <v>5</v>
      </c>
      <c r="V17" s="12">
        <f t="shared" si="16"/>
        <v>1</v>
      </c>
      <c r="W17" s="73">
        <v>1.5</v>
      </c>
      <c r="X17" s="13">
        <f t="shared" si="1"/>
        <v>6</v>
      </c>
      <c r="Y17" s="14">
        <f t="shared" si="17"/>
        <v>9.6774193548387094E-2</v>
      </c>
      <c r="AA17" s="6">
        <f t="shared" si="18"/>
        <v>1</v>
      </c>
      <c r="AB17" s="6">
        <f t="shared" si="2"/>
        <v>1</v>
      </c>
      <c r="AC17" s="6">
        <f t="shared" si="3"/>
        <v>1</v>
      </c>
      <c r="AD17" s="6">
        <f t="shared" si="4"/>
        <v>1</v>
      </c>
      <c r="AE17" s="6">
        <f t="shared" si="5"/>
        <v>1</v>
      </c>
      <c r="AF17" s="6">
        <f t="shared" si="6"/>
        <v>1</v>
      </c>
      <c r="AG17" s="6">
        <f t="shared" si="7"/>
        <v>1</v>
      </c>
      <c r="AH17" s="6">
        <f t="shared" si="8"/>
        <v>0</v>
      </c>
      <c r="AI17" s="6">
        <f t="shared" si="9"/>
        <v>1</v>
      </c>
      <c r="AJ17" s="6">
        <f t="shared" si="10"/>
        <v>1</v>
      </c>
      <c r="AK17" s="6">
        <f t="shared" si="11"/>
        <v>0</v>
      </c>
      <c r="AM17" s="15">
        <f>AA17/SQRT(AA$12^2+AA$13^2+AA$14^2+AA$15^2+AA$16^2+AA$17^2+AA$18^2+AA$19^2+AA$20^2+AA$21^2+AA$22^2+AA$23^2)</f>
        <v>0.5</v>
      </c>
      <c r="AN17" s="15">
        <f t="shared" si="19"/>
        <v>0.40824829046386307</v>
      </c>
      <c r="AO17" s="15">
        <f t="shared" si="20"/>
        <v>0.57735026918962584</v>
      </c>
      <c r="AP17" s="15">
        <f t="shared" si="21"/>
        <v>0.57735026918962584</v>
      </c>
      <c r="AQ17" s="15">
        <f t="shared" si="13"/>
        <v>0.70710678118654746</v>
      </c>
      <c r="AR17" s="15">
        <f t="shared" si="22"/>
        <v>0.57735026918962584</v>
      </c>
      <c r="AS17" s="15">
        <f t="shared" si="23"/>
        <v>0.70710678118654746</v>
      </c>
      <c r="AT17" s="15">
        <f t="shared" si="24"/>
        <v>0</v>
      </c>
      <c r="AU17" s="15">
        <f t="shared" si="25"/>
        <v>0.57735026918962584</v>
      </c>
      <c r="AV17" s="15">
        <f>AJ17/SQRT(AJ$12^2+AJ$13^2+AJ$14^2+AJ$15^2+AJ$16^2+AJ$17^2+AJ$18^2+AJ$19^2+AJ$20^2+AJ$21^2+AJ$22^2+AJ$23^2)</f>
        <v>0.5</v>
      </c>
      <c r="AW17" s="15">
        <f t="shared" si="26"/>
        <v>0</v>
      </c>
      <c r="AY17" s="7" t="s">
        <v>39</v>
      </c>
      <c r="AZ17" s="44">
        <f>AM12*$AR$12+AM13*$AR$13+AM14*$AR$14+AM15*$AR$15+AM16*$AR$16+AM17*$AR$17+AM18*$AR$18+AM19*$AR$19+AM20*$AR$20+AM21*$AR$21+AM22*$AR$22+AM23*$AR$23</f>
        <v>0.28867513459481292</v>
      </c>
      <c r="BA17" s="44">
        <f t="shared" ref="BA17:BJ17" si="44">AN12*$AR$12+AN13*$AR$13+AN14*$AR$14+AN15*$AR$15+AN16*$AR$16+AN17*$AR$17+AN18*$AR$18+AN19*$AR$19+AN20*$AR$20+AN21*$AR$21+AN22*$AR$22+AN23*$AR$23</f>
        <v>0.70710678118654768</v>
      </c>
      <c r="BB17" s="44">
        <f t="shared" si="44"/>
        <v>0.33333333333333343</v>
      </c>
      <c r="BC17" s="44">
        <f t="shared" si="44"/>
        <v>0.66666666666666685</v>
      </c>
      <c r="BD17" s="44">
        <f t="shared" si="44"/>
        <v>0.40824829046386302</v>
      </c>
      <c r="BE17" s="44">
        <f t="shared" si="44"/>
        <v>1.0000000000000002</v>
      </c>
      <c r="BF17" s="44">
        <f t="shared" si="44"/>
        <v>0.81649658092772603</v>
      </c>
      <c r="BG17" s="44">
        <f t="shared" si="44"/>
        <v>0.40824829046386302</v>
      </c>
      <c r="BH17" s="44">
        <f t="shared" si="44"/>
        <v>0.66666666666666685</v>
      </c>
      <c r="BI17" s="44">
        <f t="shared" si="44"/>
        <v>0.57735026918962584</v>
      </c>
      <c r="BJ17" s="44">
        <f t="shared" si="44"/>
        <v>0</v>
      </c>
      <c r="BL17" s="44" t="s">
        <v>39</v>
      </c>
      <c r="BM17" s="16" t="str">
        <f t="shared" si="28"/>
        <v/>
      </c>
      <c r="BN17" s="16" t="str">
        <f t="shared" si="29"/>
        <v>yes</v>
      </c>
      <c r="BO17" s="16" t="str">
        <f t="shared" si="30"/>
        <v/>
      </c>
      <c r="BP17" s="16" t="str">
        <f t="shared" si="31"/>
        <v/>
      </c>
      <c r="BQ17" s="16" t="str">
        <f t="shared" si="32"/>
        <v/>
      </c>
      <c r="BR17" s="16" t="str">
        <f t="shared" si="33"/>
        <v>yes</v>
      </c>
      <c r="BS17" s="16" t="str">
        <f t="shared" si="34"/>
        <v>yes</v>
      </c>
      <c r="BT17" s="16" t="str">
        <f t="shared" si="35"/>
        <v/>
      </c>
      <c r="BU17" s="16" t="str">
        <f t="shared" si="36"/>
        <v/>
      </c>
      <c r="BV17" s="16" t="str">
        <f t="shared" si="37"/>
        <v/>
      </c>
      <c r="BW17" s="16" t="str">
        <f t="shared" si="38"/>
        <v/>
      </c>
    </row>
    <row r="18" spans="1:75" ht="14.4" x14ac:dyDescent="0.3">
      <c r="A18" s="40">
        <v>7</v>
      </c>
      <c r="B18" s="57" t="s">
        <v>52</v>
      </c>
      <c r="C18" s="74">
        <v>3</v>
      </c>
      <c r="D18" s="9">
        <f t="shared" si="0"/>
        <v>6.9767441860465115E-2</v>
      </c>
      <c r="E18" s="65"/>
      <c r="F18" s="64"/>
      <c r="G18" s="67"/>
      <c r="H18" s="67"/>
      <c r="I18" s="67"/>
      <c r="J18" s="64"/>
      <c r="K18" s="67"/>
      <c r="L18" s="65"/>
      <c r="M18" s="69"/>
      <c r="N18" s="67"/>
      <c r="O18" s="78" t="s">
        <v>6</v>
      </c>
      <c r="P18" s="68"/>
      <c r="Q18" s="17"/>
      <c r="R18" s="74">
        <v>2</v>
      </c>
      <c r="S18" s="76">
        <v>3</v>
      </c>
      <c r="T18" s="76">
        <v>2</v>
      </c>
      <c r="U18" s="76">
        <v>2</v>
      </c>
      <c r="V18" s="12">
        <f>U18/R18</f>
        <v>1</v>
      </c>
      <c r="W18" s="74">
        <v>1</v>
      </c>
      <c r="X18" s="13">
        <f>C18*V18*W18</f>
        <v>3</v>
      </c>
      <c r="Y18" s="14">
        <f t="shared" si="17"/>
        <v>4.8387096774193547E-2</v>
      </c>
      <c r="AA18" s="6">
        <f t="shared" si="18"/>
        <v>0</v>
      </c>
      <c r="AB18" s="6">
        <f t="shared" si="2"/>
        <v>0</v>
      </c>
      <c r="AC18" s="6">
        <f t="shared" si="3"/>
        <v>0</v>
      </c>
      <c r="AD18" s="6">
        <f t="shared" si="4"/>
        <v>0</v>
      </c>
      <c r="AE18" s="6">
        <f t="shared" si="5"/>
        <v>0</v>
      </c>
      <c r="AF18" s="6">
        <f t="shared" si="6"/>
        <v>0</v>
      </c>
      <c r="AG18" s="6">
        <f t="shared" si="7"/>
        <v>0</v>
      </c>
      <c r="AH18" s="6">
        <f t="shared" si="8"/>
        <v>0</v>
      </c>
      <c r="AI18" s="6">
        <f t="shared" si="9"/>
        <v>0</v>
      </c>
      <c r="AJ18" s="6">
        <f t="shared" si="10"/>
        <v>0</v>
      </c>
      <c r="AK18" s="6">
        <f>IF(P18="",0,1)</f>
        <v>0</v>
      </c>
      <c r="AM18" s="15">
        <f t="shared" si="41"/>
        <v>0</v>
      </c>
      <c r="AN18" s="15">
        <f t="shared" si="19"/>
        <v>0</v>
      </c>
      <c r="AO18" s="15">
        <f t="shared" si="20"/>
        <v>0</v>
      </c>
      <c r="AP18" s="15">
        <f t="shared" si="21"/>
        <v>0</v>
      </c>
      <c r="AQ18" s="15">
        <f t="shared" si="13"/>
        <v>0</v>
      </c>
      <c r="AR18" s="15">
        <f t="shared" si="22"/>
        <v>0</v>
      </c>
      <c r="AS18" s="15">
        <f t="shared" si="23"/>
        <v>0</v>
      </c>
      <c r="AT18" s="15">
        <f t="shared" si="24"/>
        <v>0</v>
      </c>
      <c r="AU18" s="15">
        <f t="shared" si="25"/>
        <v>0</v>
      </c>
      <c r="AV18" s="15">
        <f>AJ18/SQRT(AJ$12^2+AJ$13^2+AJ$14^2+AJ$15^2+AJ$16^2+AJ$17^2+AJ$18^2+AJ$19^2+AJ$20^2+AJ$21^2+AJ$22^2+AJ$23^2)</f>
        <v>0</v>
      </c>
      <c r="AW18" s="15">
        <f t="shared" si="26"/>
        <v>0</v>
      </c>
      <c r="AY18" s="7" t="s">
        <v>40</v>
      </c>
      <c r="AZ18" s="44">
        <f>AM12*$AS$12+AM13*$AS$13+AM14*$AS$14+AM15*$AS$15+AM16*$AS$16+AM17*$AS$17+AM18*$AS$18+AM19*$AS$19+AM20*$AS$20+AM21*$AS$21+AM22*$AS$22+AM23*$AS$23</f>
        <v>0.35355339059327373</v>
      </c>
      <c r="BA18" s="44">
        <f t="shared" ref="BA18:BJ18" si="45">AN12*$AS$12+AN13*$AS$13+AN14*$AS$14+AN15*$AS$15+AN16*$AS$16+AN17*$AS$17+AN18*$AS$18+AN19*$AS$19+AN20*$AS$20+AN21*$AS$21+AN22*$AS$22+AN23*$AS$23</f>
        <v>0.57735026918962584</v>
      </c>
      <c r="BB18" s="44">
        <f t="shared" si="45"/>
        <v>0.40824829046386302</v>
      </c>
      <c r="BC18" s="44">
        <f t="shared" si="45"/>
        <v>0.40824829046386302</v>
      </c>
      <c r="BD18" s="44">
        <f t="shared" si="45"/>
        <v>0.49999999999999989</v>
      </c>
      <c r="BE18" s="44">
        <f t="shared" si="45"/>
        <v>0.81649658092772603</v>
      </c>
      <c r="BF18" s="44">
        <f t="shared" si="45"/>
        <v>0.99999999999999978</v>
      </c>
      <c r="BG18" s="44">
        <f t="shared" si="45"/>
        <v>0.49999999999999989</v>
      </c>
      <c r="BH18" s="44">
        <f t="shared" si="45"/>
        <v>0.81649658092772603</v>
      </c>
      <c r="BI18" s="44">
        <f t="shared" si="45"/>
        <v>0.35355339059327373</v>
      </c>
      <c r="BJ18" s="44">
        <f t="shared" si="45"/>
        <v>0</v>
      </c>
      <c r="BL18" s="44" t="s">
        <v>40</v>
      </c>
      <c r="BM18" s="16" t="str">
        <f t="shared" ref="BM18:BW18" si="46">IF(AZ18&gt;2/3,"yes","")</f>
        <v/>
      </c>
      <c r="BN18" s="16" t="str">
        <f t="shared" si="46"/>
        <v/>
      </c>
      <c r="BO18" s="16" t="str">
        <f t="shared" si="46"/>
        <v/>
      </c>
      <c r="BP18" s="16" t="str">
        <f t="shared" si="46"/>
        <v/>
      </c>
      <c r="BQ18" s="16" t="str">
        <f t="shared" si="46"/>
        <v/>
      </c>
      <c r="BR18" s="16" t="str">
        <f t="shared" si="46"/>
        <v>yes</v>
      </c>
      <c r="BS18" s="16" t="str">
        <f t="shared" si="46"/>
        <v>yes</v>
      </c>
      <c r="BT18" s="16" t="str">
        <f t="shared" si="46"/>
        <v/>
      </c>
      <c r="BU18" s="16" t="str">
        <f>IF(BH18&gt;2/3,"yes","")</f>
        <v>yes</v>
      </c>
      <c r="BV18" s="16" t="str">
        <f t="shared" si="46"/>
        <v/>
      </c>
      <c r="BW18" s="16" t="str">
        <f t="shared" si="46"/>
        <v/>
      </c>
    </row>
    <row r="19" spans="1:75" ht="14.4" x14ac:dyDescent="0.3">
      <c r="A19" s="58">
        <v>8</v>
      </c>
      <c r="B19" s="59" t="s">
        <v>53</v>
      </c>
      <c r="C19" s="74">
        <v>1</v>
      </c>
      <c r="D19" s="9">
        <f t="shared" si="0"/>
        <v>2.3255813953488372E-2</v>
      </c>
      <c r="E19" s="67"/>
      <c r="F19" s="67"/>
      <c r="G19" s="67"/>
      <c r="H19" s="64"/>
      <c r="I19" s="64"/>
      <c r="J19" s="64"/>
      <c r="K19" s="67"/>
      <c r="L19" s="67"/>
      <c r="M19" s="64"/>
      <c r="N19" s="65"/>
      <c r="O19" s="69" t="s">
        <v>8</v>
      </c>
      <c r="P19" s="64"/>
      <c r="Q19" s="17"/>
      <c r="R19" s="74">
        <v>1</v>
      </c>
      <c r="S19" s="76">
        <v>1</v>
      </c>
      <c r="T19" s="76">
        <v>1</v>
      </c>
      <c r="U19" s="76">
        <v>1</v>
      </c>
      <c r="V19" s="12">
        <f t="shared" si="16"/>
        <v>1</v>
      </c>
      <c r="W19" s="74">
        <v>1</v>
      </c>
      <c r="X19" s="13">
        <f t="shared" si="1"/>
        <v>1</v>
      </c>
      <c r="Y19" s="14">
        <f t="shared" si="17"/>
        <v>1.6129032258064516E-2</v>
      </c>
      <c r="AA19" s="6">
        <f t="shared" si="18"/>
        <v>0</v>
      </c>
      <c r="AB19" s="6">
        <f t="shared" si="2"/>
        <v>0</v>
      </c>
      <c r="AC19" s="6">
        <f t="shared" si="3"/>
        <v>0</v>
      </c>
      <c r="AD19" s="6">
        <f t="shared" si="4"/>
        <v>0</v>
      </c>
      <c r="AE19" s="6">
        <f t="shared" si="5"/>
        <v>0</v>
      </c>
      <c r="AF19" s="6">
        <f t="shared" si="6"/>
        <v>0</v>
      </c>
      <c r="AG19" s="6">
        <f t="shared" si="7"/>
        <v>0</v>
      </c>
      <c r="AH19" s="6">
        <f t="shared" si="8"/>
        <v>0</v>
      </c>
      <c r="AI19" s="6">
        <f t="shared" si="9"/>
        <v>0</v>
      </c>
      <c r="AJ19" s="6">
        <f t="shared" si="10"/>
        <v>0</v>
      </c>
      <c r="AK19" s="6">
        <f t="shared" si="11"/>
        <v>0</v>
      </c>
      <c r="AM19" s="15">
        <f t="shared" si="41"/>
        <v>0</v>
      </c>
      <c r="AN19" s="15">
        <f t="shared" si="19"/>
        <v>0</v>
      </c>
      <c r="AO19" s="15">
        <f t="shared" si="20"/>
        <v>0</v>
      </c>
      <c r="AP19" s="15">
        <f t="shared" si="21"/>
        <v>0</v>
      </c>
      <c r="AQ19" s="15">
        <f t="shared" ref="AQ19:AQ21" si="47">AE19/SQRT(AE$12^2+AE$13^2+AE$14^2+AE$15^2+AE$16^2+AE$17^2+AE$18^2+AE$19^2+AE$20^2+AE$21^2+AE$22^2+AE$23^2)</f>
        <v>0</v>
      </c>
      <c r="AR19" s="15">
        <f t="shared" si="22"/>
        <v>0</v>
      </c>
      <c r="AS19" s="15">
        <f t="shared" si="23"/>
        <v>0</v>
      </c>
      <c r="AT19" s="15">
        <f t="shared" si="24"/>
        <v>0</v>
      </c>
      <c r="AU19" s="15">
        <f t="shared" si="25"/>
        <v>0</v>
      </c>
      <c r="AV19" s="15">
        <f t="shared" si="39"/>
        <v>0</v>
      </c>
      <c r="AW19" s="15">
        <f t="shared" si="26"/>
        <v>0</v>
      </c>
      <c r="AY19" s="7" t="s">
        <v>41</v>
      </c>
      <c r="AZ19" s="44">
        <f>AM12*$AT$12+AM13*$AT$13+AM14*$AT$14+AM15*$AT$15+AM16*$AT$16+AM17*$AT$17+AM18*$AT$18+AM19*$AT$19+AM20*$AT$20+AM21*$AT$21+AM22*$AT$22+AM23*$AT$23</f>
        <v>0</v>
      </c>
      <c r="BA19" s="44">
        <f t="shared" ref="BA19:BJ19" si="48">AN12*$AT$12+AN13*$AT$13+AN14*$AT$14+AN15*$AT$15+AN16*$AT$16+AN17*$AT$17+AN18*$AT$18+AN19*$AT$19+AN20*$AT$20+AN21*$AT$21+AN22*$AT$22+AN23*$AT$23</f>
        <v>0.57735026918962584</v>
      </c>
      <c r="BB19" s="44">
        <f t="shared" si="48"/>
        <v>0</v>
      </c>
      <c r="BC19" s="44">
        <f t="shared" si="48"/>
        <v>0</v>
      </c>
      <c r="BD19" s="44">
        <f t="shared" si="48"/>
        <v>0</v>
      </c>
      <c r="BE19" s="44">
        <f t="shared" si="48"/>
        <v>0.40824829046386302</v>
      </c>
      <c r="BF19" s="44">
        <f t="shared" si="48"/>
        <v>0.49999999999999989</v>
      </c>
      <c r="BG19" s="44">
        <f t="shared" si="48"/>
        <v>0.99999999999999978</v>
      </c>
      <c r="BH19" s="44">
        <f t="shared" si="48"/>
        <v>0.40824829046386302</v>
      </c>
      <c r="BI19" s="44">
        <f t="shared" si="48"/>
        <v>0</v>
      </c>
      <c r="BJ19" s="44">
        <f t="shared" si="48"/>
        <v>0</v>
      </c>
      <c r="BL19" s="44" t="s">
        <v>41</v>
      </c>
      <c r="BM19" s="16" t="str">
        <f t="shared" si="28"/>
        <v/>
      </c>
      <c r="BN19" s="16" t="str">
        <f t="shared" si="29"/>
        <v/>
      </c>
      <c r="BO19" s="16" t="str">
        <f t="shared" si="30"/>
        <v/>
      </c>
      <c r="BP19" s="16" t="str">
        <f t="shared" si="31"/>
        <v/>
      </c>
      <c r="BQ19" s="16" t="str">
        <f t="shared" si="32"/>
        <v/>
      </c>
      <c r="BR19" s="16" t="str">
        <f t="shared" si="33"/>
        <v/>
      </c>
      <c r="BS19" s="16" t="str">
        <f t="shared" si="34"/>
        <v/>
      </c>
      <c r="BT19" s="16" t="str">
        <f t="shared" si="35"/>
        <v>yes</v>
      </c>
      <c r="BU19" s="16" t="str">
        <f t="shared" si="36"/>
        <v/>
      </c>
      <c r="BV19" s="16" t="str">
        <f t="shared" si="37"/>
        <v/>
      </c>
      <c r="BW19" s="16" t="str">
        <f t="shared" si="38"/>
        <v/>
      </c>
    </row>
    <row r="20" spans="1:75" ht="14.4" x14ac:dyDescent="0.3">
      <c r="A20" s="58">
        <v>9</v>
      </c>
      <c r="B20" s="59" t="s">
        <v>54</v>
      </c>
      <c r="C20" s="74">
        <v>2</v>
      </c>
      <c r="D20" s="9">
        <f t="shared" si="0"/>
        <v>4.6511627906976744E-2</v>
      </c>
      <c r="E20" s="67"/>
      <c r="F20" s="67"/>
      <c r="G20" s="65"/>
      <c r="H20" s="64"/>
      <c r="I20" s="64"/>
      <c r="J20" s="64"/>
      <c r="K20" s="67"/>
      <c r="L20" s="64"/>
      <c r="M20" s="64"/>
      <c r="N20" s="64"/>
      <c r="O20" s="64"/>
      <c r="P20" s="68" t="s">
        <v>6</v>
      </c>
      <c r="Q20" s="17"/>
      <c r="R20" s="74">
        <v>1</v>
      </c>
      <c r="S20" s="76">
        <v>1</v>
      </c>
      <c r="T20" s="76">
        <v>1</v>
      </c>
      <c r="U20" s="76">
        <v>2</v>
      </c>
      <c r="V20" s="12">
        <f t="shared" si="16"/>
        <v>2</v>
      </c>
      <c r="W20" s="74">
        <v>1</v>
      </c>
      <c r="X20" s="13">
        <f t="shared" si="1"/>
        <v>4</v>
      </c>
      <c r="Y20" s="14">
        <f t="shared" si="17"/>
        <v>6.4516129032258063E-2</v>
      </c>
      <c r="AA20" s="6">
        <f t="shared" si="18"/>
        <v>0</v>
      </c>
      <c r="AB20" s="6">
        <f t="shared" si="2"/>
        <v>0</v>
      </c>
      <c r="AC20" s="6">
        <f t="shared" si="3"/>
        <v>0</v>
      </c>
      <c r="AD20" s="6">
        <f t="shared" si="4"/>
        <v>0</v>
      </c>
      <c r="AE20" s="6">
        <f t="shared" si="5"/>
        <v>0</v>
      </c>
      <c r="AF20" s="6">
        <f t="shared" si="6"/>
        <v>0</v>
      </c>
      <c r="AG20" s="6">
        <f t="shared" si="7"/>
        <v>0</v>
      </c>
      <c r="AH20" s="6">
        <f t="shared" si="8"/>
        <v>0</v>
      </c>
      <c r="AI20" s="6">
        <f t="shared" si="9"/>
        <v>0</v>
      </c>
      <c r="AJ20" s="6">
        <f t="shared" si="10"/>
        <v>0</v>
      </c>
      <c r="AK20" s="6">
        <f t="shared" si="11"/>
        <v>1</v>
      </c>
      <c r="AM20" s="15">
        <f t="shared" si="41"/>
        <v>0</v>
      </c>
      <c r="AN20" s="15">
        <f t="shared" si="19"/>
        <v>0</v>
      </c>
      <c r="AO20" s="15">
        <f t="shared" si="20"/>
        <v>0</v>
      </c>
      <c r="AP20" s="15">
        <f t="shared" si="21"/>
        <v>0</v>
      </c>
      <c r="AQ20" s="15">
        <f>AE20/SQRT(AE$12^2+AE$13^2+AE$14^2+AE$15^2+AE$16^2+AE$17^2+AE$18^2+AE$19^2+AE$20^2+AE$21^2+AE$22^2+AE$23^2)</f>
        <v>0</v>
      </c>
      <c r="AR20" s="15">
        <f t="shared" si="22"/>
        <v>0</v>
      </c>
      <c r="AS20" s="15">
        <f t="shared" si="23"/>
        <v>0</v>
      </c>
      <c r="AT20" s="15">
        <f t="shared" si="24"/>
        <v>0</v>
      </c>
      <c r="AU20" s="15">
        <f t="shared" si="25"/>
        <v>0</v>
      </c>
      <c r="AV20" s="15">
        <f>AJ20/SQRT(AJ$12^2+AJ$13^2+AJ$14^2+AJ$15^2+AJ$16^2+AJ$17^2+AJ$18^2+AJ$19^2+AJ$20^2+AJ$21^2+AJ$22^2+AJ$23^2)</f>
        <v>0</v>
      </c>
      <c r="AW20" s="15">
        <f t="shared" si="26"/>
        <v>1</v>
      </c>
      <c r="AY20" s="7" t="s">
        <v>42</v>
      </c>
      <c r="AZ20" s="44">
        <f t="shared" ref="AZ20:BJ20" si="49">AM12*$AU$12+AM13*$AU$13+AM14*$AU$14+AM15*$AU$15+AM16*$AU$16+AM17*$AU$17+AM18*$AU$18+AM19*$AU$19+AM20*$AU$20+AM21*$AU$21+AM22*$AU$22+AM23*$AU$23</f>
        <v>0.57735026918962584</v>
      </c>
      <c r="BA20" s="44">
        <f t="shared" si="49"/>
        <v>0.70710678118654768</v>
      </c>
      <c r="BB20" s="44">
        <f t="shared" si="49"/>
        <v>0.33333333333333343</v>
      </c>
      <c r="BC20" s="44">
        <f t="shared" si="49"/>
        <v>0.33333333333333343</v>
      </c>
      <c r="BD20" s="44">
        <f t="shared" si="49"/>
        <v>0.81649658092772603</v>
      </c>
      <c r="BE20" s="44">
        <f t="shared" si="49"/>
        <v>0.66666666666666685</v>
      </c>
      <c r="BF20" s="44">
        <f t="shared" si="49"/>
        <v>0.81649658092772603</v>
      </c>
      <c r="BG20" s="44">
        <f t="shared" si="49"/>
        <v>0.40824829046386302</v>
      </c>
      <c r="BH20" s="44">
        <f t="shared" si="49"/>
        <v>1.0000000000000002</v>
      </c>
      <c r="BI20" s="44">
        <f t="shared" si="49"/>
        <v>0.28867513459481292</v>
      </c>
      <c r="BJ20" s="44">
        <f t="shared" si="49"/>
        <v>0</v>
      </c>
      <c r="BL20" s="44" t="s">
        <v>42</v>
      </c>
      <c r="BM20" s="16" t="str">
        <f t="shared" si="28"/>
        <v/>
      </c>
      <c r="BN20" s="16" t="str">
        <f t="shared" si="29"/>
        <v>yes</v>
      </c>
      <c r="BO20" s="16" t="str">
        <f t="shared" si="30"/>
        <v/>
      </c>
      <c r="BP20" s="16" t="str">
        <f t="shared" si="31"/>
        <v/>
      </c>
      <c r="BQ20" s="16" t="str">
        <f t="shared" si="32"/>
        <v>yes</v>
      </c>
      <c r="BR20" s="16" t="str">
        <f t="shared" si="33"/>
        <v/>
      </c>
      <c r="BS20" s="16" t="str">
        <f t="shared" si="34"/>
        <v>yes</v>
      </c>
      <c r="BT20" s="16" t="str">
        <f t="shared" si="35"/>
        <v/>
      </c>
      <c r="BU20" s="16" t="str">
        <f>IF(BH20&gt;2/3,"yes","")</f>
        <v>yes</v>
      </c>
      <c r="BV20" s="16" t="str">
        <f t="shared" si="37"/>
        <v/>
      </c>
      <c r="BW20" s="16" t="str">
        <f t="shared" si="38"/>
        <v/>
      </c>
    </row>
    <row r="21" spans="1:75" ht="14.4" x14ac:dyDescent="0.3">
      <c r="A21" s="58">
        <v>10</v>
      </c>
      <c r="B21" s="59" t="s">
        <v>55</v>
      </c>
      <c r="C21" s="74">
        <v>4</v>
      </c>
      <c r="D21" s="9">
        <f t="shared" si="0"/>
        <v>9.3023255813953487E-2</v>
      </c>
      <c r="E21" s="69" t="s">
        <v>8</v>
      </c>
      <c r="F21" s="70" t="s">
        <v>10</v>
      </c>
      <c r="G21" s="64"/>
      <c r="H21" s="64"/>
      <c r="I21" s="68" t="s">
        <v>6</v>
      </c>
      <c r="J21" s="67"/>
      <c r="K21" s="64"/>
      <c r="L21" s="67"/>
      <c r="M21" s="70" t="s">
        <v>10</v>
      </c>
      <c r="N21" s="65"/>
      <c r="O21" s="64"/>
      <c r="P21" s="64"/>
      <c r="Q21" s="10"/>
      <c r="R21" s="74">
        <v>5</v>
      </c>
      <c r="S21" s="76">
        <v>3</v>
      </c>
      <c r="T21" s="76">
        <v>4</v>
      </c>
      <c r="U21" s="76">
        <v>5</v>
      </c>
      <c r="V21" s="12">
        <f t="shared" si="16"/>
        <v>1</v>
      </c>
      <c r="W21" s="73">
        <v>1.5</v>
      </c>
      <c r="X21" s="13">
        <f t="shared" si="1"/>
        <v>6</v>
      </c>
      <c r="Y21" s="14">
        <f t="shared" si="17"/>
        <v>9.6774193548387094E-2</v>
      </c>
      <c r="AA21" s="6">
        <f t="shared" si="18"/>
        <v>1</v>
      </c>
      <c r="AB21" s="6">
        <f t="shared" si="2"/>
        <v>1</v>
      </c>
      <c r="AC21" s="6">
        <f t="shared" si="3"/>
        <v>0</v>
      </c>
      <c r="AD21" s="6">
        <f t="shared" si="4"/>
        <v>0</v>
      </c>
      <c r="AE21" s="6">
        <f t="shared" si="5"/>
        <v>1</v>
      </c>
      <c r="AF21" s="6">
        <f t="shared" si="6"/>
        <v>0</v>
      </c>
      <c r="AG21" s="6">
        <f t="shared" si="7"/>
        <v>0</v>
      </c>
      <c r="AH21" s="6">
        <f t="shared" si="8"/>
        <v>0</v>
      </c>
      <c r="AI21" s="6">
        <f t="shared" si="9"/>
        <v>1</v>
      </c>
      <c r="AJ21" s="6">
        <f t="shared" si="10"/>
        <v>0</v>
      </c>
      <c r="AK21" s="6">
        <f t="shared" si="11"/>
        <v>0</v>
      </c>
      <c r="AM21" s="15">
        <f t="shared" si="41"/>
        <v>0.5</v>
      </c>
      <c r="AN21" s="15">
        <f t="shared" si="19"/>
        <v>0.40824829046386307</v>
      </c>
      <c r="AO21" s="15">
        <f t="shared" si="20"/>
        <v>0</v>
      </c>
      <c r="AP21" s="15">
        <f t="shared" si="21"/>
        <v>0</v>
      </c>
      <c r="AQ21" s="15">
        <f t="shared" si="47"/>
        <v>0.70710678118654746</v>
      </c>
      <c r="AR21" s="15">
        <f t="shared" si="22"/>
        <v>0</v>
      </c>
      <c r="AS21" s="15">
        <f t="shared" si="23"/>
        <v>0</v>
      </c>
      <c r="AT21" s="15">
        <f t="shared" si="24"/>
        <v>0</v>
      </c>
      <c r="AU21" s="15">
        <f t="shared" si="25"/>
        <v>0.57735026918962584</v>
      </c>
      <c r="AV21" s="15">
        <f>AJ21/SQRT(AJ$12^2+AJ$13^2+AJ$14^2+AJ$15^2+AJ$16^2+AJ$17^2+AJ$18^2+AJ$19^2+AJ$20^2+AJ$21^2+AJ$22^2+AJ$23^2)</f>
        <v>0</v>
      </c>
      <c r="AW21" s="15">
        <f t="shared" si="26"/>
        <v>0</v>
      </c>
      <c r="AY21" s="43" t="s">
        <v>43</v>
      </c>
      <c r="AZ21" s="44">
        <f>AM12*$AV$12+AM13*$AV$13+AM14*$AV$14+AM15*$AV$15+AM16*$AV$16+AM17*$AV$17+AM18*$AV$18+AM19*$AV$19+AM20*$AV$20+AM21*$AV$21+AM22*$AV$22+AM23*$AV$23</f>
        <v>0.75</v>
      </c>
      <c r="BA21" s="44">
        <f t="shared" ref="BA21:BJ21" si="50">AN12*$AV$12+AN13*$AV$13+AN14*$AV$14+AN15*$AV$15+AN16*$AV$16+AN17*$AV$17+AN18*$AV$18+AN19*$AV$19+AN20*$AV$20+AN21*$AV$21+AN22*$AV$22+AN23*$AV$23</f>
        <v>0.40824829046386307</v>
      </c>
      <c r="BB21" s="44">
        <f t="shared" si="50"/>
        <v>0.86602540378443882</v>
      </c>
      <c r="BC21" s="44">
        <f t="shared" si="50"/>
        <v>0.57735026918962584</v>
      </c>
      <c r="BD21" s="44">
        <f>AQ12*$AV$12+AQ13*$AV$13+AQ14*$AV$14+AQ15*$AV$15+AQ16*$AV$16+AQ17*$AV$17+AQ18*$AV$18+AQ19*$AV$19+AQ20*$AV$20+AQ21*$AV$21+AQ22*$AV$22+AQ23*$AV$23</f>
        <v>0.35355339059327373</v>
      </c>
      <c r="BE21" s="44">
        <f t="shared" si="50"/>
        <v>0.57735026918962584</v>
      </c>
      <c r="BF21" s="44">
        <f t="shared" si="50"/>
        <v>0.35355339059327373</v>
      </c>
      <c r="BG21" s="44">
        <f t="shared" si="50"/>
        <v>0</v>
      </c>
      <c r="BH21" s="44">
        <f t="shared" si="50"/>
        <v>0.28867513459481292</v>
      </c>
      <c r="BI21" s="44">
        <f t="shared" si="50"/>
        <v>1</v>
      </c>
      <c r="BJ21" s="44">
        <f t="shared" si="50"/>
        <v>0</v>
      </c>
      <c r="BL21" s="6" t="s">
        <v>43</v>
      </c>
      <c r="BM21" s="16" t="str">
        <f t="shared" si="28"/>
        <v>yes</v>
      </c>
      <c r="BN21" s="16" t="str">
        <f t="shared" si="29"/>
        <v/>
      </c>
      <c r="BO21" s="16" t="str">
        <f t="shared" si="30"/>
        <v>yes</v>
      </c>
      <c r="BP21" s="16" t="str">
        <f t="shared" si="31"/>
        <v/>
      </c>
      <c r="BQ21" s="16" t="str">
        <f t="shared" si="32"/>
        <v/>
      </c>
      <c r="BR21" s="16" t="str">
        <f t="shared" si="33"/>
        <v/>
      </c>
      <c r="BS21" s="16" t="str">
        <f t="shared" si="34"/>
        <v/>
      </c>
      <c r="BT21" s="16" t="str">
        <f t="shared" si="35"/>
        <v/>
      </c>
      <c r="BU21" s="16" t="str">
        <f t="shared" si="36"/>
        <v/>
      </c>
      <c r="BV21" s="16" t="str">
        <f t="shared" si="37"/>
        <v>yes</v>
      </c>
      <c r="BW21" s="16" t="str">
        <f t="shared" si="38"/>
        <v/>
      </c>
    </row>
    <row r="22" spans="1:75" ht="14.4" x14ac:dyDescent="0.3">
      <c r="A22" s="60">
        <v>11</v>
      </c>
      <c r="B22" s="61" t="s">
        <v>56</v>
      </c>
      <c r="C22" s="74">
        <v>3</v>
      </c>
      <c r="D22" s="9">
        <f t="shared" si="0"/>
        <v>6.9767441860465115E-2</v>
      </c>
      <c r="E22" s="64"/>
      <c r="F22" s="64"/>
      <c r="G22" s="64"/>
      <c r="H22" s="68" t="s">
        <v>6</v>
      </c>
      <c r="I22" s="64"/>
      <c r="J22" s="64"/>
      <c r="K22" s="65"/>
      <c r="L22" s="64"/>
      <c r="M22" s="64"/>
      <c r="N22" s="65"/>
      <c r="O22" s="64"/>
      <c r="P22" s="64"/>
      <c r="Q22" s="10"/>
      <c r="R22" s="74">
        <v>4</v>
      </c>
      <c r="S22" s="76">
        <v>3</v>
      </c>
      <c r="T22" s="76">
        <v>4</v>
      </c>
      <c r="U22" s="76">
        <v>4</v>
      </c>
      <c r="V22" s="12">
        <f>U22/R22</f>
        <v>1</v>
      </c>
      <c r="W22" s="74">
        <v>1.2</v>
      </c>
      <c r="X22" s="13">
        <f t="shared" si="1"/>
        <v>3.5999999999999996</v>
      </c>
      <c r="Y22" s="14">
        <f t="shared" si="17"/>
        <v>5.8064516129032254E-2</v>
      </c>
      <c r="AA22" s="6">
        <f t="shared" si="18"/>
        <v>0</v>
      </c>
      <c r="AB22" s="6">
        <f t="shared" si="2"/>
        <v>0</v>
      </c>
      <c r="AC22" s="6">
        <f t="shared" si="3"/>
        <v>0</v>
      </c>
      <c r="AD22" s="6">
        <f t="shared" si="4"/>
        <v>1</v>
      </c>
      <c r="AE22" s="6">
        <f t="shared" si="5"/>
        <v>0</v>
      </c>
      <c r="AF22" s="6">
        <f t="shared" si="6"/>
        <v>0</v>
      </c>
      <c r="AG22" s="6">
        <f t="shared" si="7"/>
        <v>0</v>
      </c>
      <c r="AH22" s="6">
        <f t="shared" si="8"/>
        <v>0</v>
      </c>
      <c r="AI22" s="6">
        <f t="shared" si="9"/>
        <v>0</v>
      </c>
      <c r="AJ22" s="6">
        <f t="shared" si="10"/>
        <v>0</v>
      </c>
      <c r="AK22" s="6">
        <f t="shared" si="11"/>
        <v>0</v>
      </c>
      <c r="AM22" s="15">
        <f t="shared" si="41"/>
        <v>0</v>
      </c>
      <c r="AN22" s="15">
        <f t="shared" si="19"/>
        <v>0</v>
      </c>
      <c r="AO22" s="15">
        <f t="shared" si="20"/>
        <v>0</v>
      </c>
      <c r="AP22" s="15">
        <f t="shared" si="21"/>
        <v>0.57735026918962584</v>
      </c>
      <c r="AQ22" s="15">
        <f>AE22/SQRT(AE$12^2+AE$13^2+AE$14^2+AE$15^2+AE$16^2+AE$17^2+AE$18^2+AE$19^2+AE$20^2+AE$21^2+AE$22^2+AE$23^2)</f>
        <v>0</v>
      </c>
      <c r="AR22" s="15">
        <f t="shared" si="22"/>
        <v>0</v>
      </c>
      <c r="AS22" s="15">
        <f t="shared" si="23"/>
        <v>0</v>
      </c>
      <c r="AT22" s="15">
        <f t="shared" si="24"/>
        <v>0</v>
      </c>
      <c r="AU22" s="15">
        <f t="shared" si="25"/>
        <v>0</v>
      </c>
      <c r="AV22" s="15">
        <f>AJ22/SQRT(AJ$12^2+AJ$13^2+AJ$14^2+AJ$15^2+AJ$16^2+AJ$17^2+AJ$18^2+AJ$19^2+AJ$20^2+AJ$21^2+AJ$22^2+AJ$23^2)</f>
        <v>0</v>
      </c>
      <c r="AW22" s="15">
        <f t="shared" si="26"/>
        <v>0</v>
      </c>
      <c r="AY22" s="43" t="s">
        <v>44</v>
      </c>
      <c r="AZ22" s="44">
        <f>AM12*$AW$12+AM13*$AW$13+AM14*$AW$14+AM15*$AW$15+AM16*$AW$16+AM17*$AW$17+AM18*$AW$18+AM19*$AW$19+AM20*$AW$20+AM21*$AW$21+AM22*$AW$22+AM23*$AW$23</f>
        <v>0</v>
      </c>
      <c r="BA22" s="44">
        <f t="shared" ref="BA22:BH22" si="51">AN12*$AW$12+AN13*$AW$13+AN14*$AW$14+AN15*$AW$15+AN16*$AW$16+AN17*$AW$17+AN18*$AW$18+AN19*$AW$19+AN20*$AW$20+AN21*$AW$21+AN22*$AW$22+AN23*$AW$23</f>
        <v>0</v>
      </c>
      <c r="BB22" s="44">
        <f t="shared" si="51"/>
        <v>0</v>
      </c>
      <c r="BC22" s="44">
        <f t="shared" si="51"/>
        <v>0</v>
      </c>
      <c r="BD22" s="44">
        <f t="shared" si="51"/>
        <v>0</v>
      </c>
      <c r="BE22" s="44">
        <f t="shared" si="51"/>
        <v>0</v>
      </c>
      <c r="BF22" s="44">
        <f t="shared" si="51"/>
        <v>0</v>
      </c>
      <c r="BG22" s="44">
        <f t="shared" si="51"/>
        <v>0</v>
      </c>
      <c r="BH22" s="44">
        <f t="shared" si="51"/>
        <v>0</v>
      </c>
      <c r="BI22" s="44">
        <f>AV12*$AW$12+AV13*$AW$13+AV14*$AW$14+AV15*$AW$15+AV16*$AW$16+AV17*$AW$17+AV18*$AW$18+AV19*$AW$19+AV20*$AW$20+AV21*$AW$21+AV22*$AW$22+AV23*$AW$23</f>
        <v>0</v>
      </c>
      <c r="BJ22" s="44">
        <f t="shared" ref="BJ22" si="52">AW12*$AW$12+AW13*$AW$13+AW14*$AW$14+AW15*$AW$15+AW16*$AW$16+AW17*$AW$17+AW18*$AW$18+AW19*$AW$19+AW20*$AW$20+AW21*$AW$21+AW22*$AW$22+AW23*$AW$23</f>
        <v>1</v>
      </c>
      <c r="BL22" s="6" t="s">
        <v>44</v>
      </c>
      <c r="BM22" s="16" t="str">
        <f t="shared" si="28"/>
        <v/>
      </c>
      <c r="BN22" s="16" t="str">
        <f t="shared" si="29"/>
        <v/>
      </c>
      <c r="BO22" s="16" t="str">
        <f t="shared" si="30"/>
        <v/>
      </c>
      <c r="BP22" s="16" t="str">
        <f t="shared" si="31"/>
        <v/>
      </c>
      <c r="BQ22" s="16" t="str">
        <f t="shared" si="32"/>
        <v/>
      </c>
      <c r="BR22" s="16" t="str">
        <f t="shared" si="33"/>
        <v/>
      </c>
      <c r="BS22" s="16" t="str">
        <f t="shared" si="34"/>
        <v/>
      </c>
      <c r="BT22" s="16" t="str">
        <f t="shared" si="35"/>
        <v/>
      </c>
      <c r="BU22" s="16" t="str">
        <f t="shared" si="36"/>
        <v/>
      </c>
      <c r="BV22" s="16" t="str">
        <f t="shared" si="37"/>
        <v/>
      </c>
      <c r="BW22" s="16" t="str">
        <f t="shared" si="38"/>
        <v>yes</v>
      </c>
    </row>
    <row r="23" spans="1:75" ht="14.4" x14ac:dyDescent="0.3">
      <c r="A23" s="60">
        <v>12</v>
      </c>
      <c r="B23" s="61" t="s">
        <v>57</v>
      </c>
      <c r="C23" s="74">
        <v>3</v>
      </c>
      <c r="D23" s="9">
        <f t="shared" si="0"/>
        <v>6.9767441860465115E-2</v>
      </c>
      <c r="E23" s="67"/>
      <c r="F23" s="79" t="s">
        <v>8</v>
      </c>
      <c r="G23" s="67"/>
      <c r="H23" s="64"/>
      <c r="I23" s="64"/>
      <c r="J23" s="67"/>
      <c r="K23" s="64"/>
      <c r="L23" s="78" t="s">
        <v>6</v>
      </c>
      <c r="M23" s="65"/>
      <c r="N23" s="65"/>
      <c r="O23" s="64"/>
      <c r="P23" s="64"/>
      <c r="Q23" s="10"/>
      <c r="R23" s="74">
        <v>4</v>
      </c>
      <c r="S23" s="76">
        <v>3</v>
      </c>
      <c r="T23" s="76">
        <v>4</v>
      </c>
      <c r="U23" s="76">
        <v>4</v>
      </c>
      <c r="V23" s="12">
        <f>U23/R23</f>
        <v>1</v>
      </c>
      <c r="W23" s="74">
        <v>1</v>
      </c>
      <c r="X23" s="13">
        <f t="shared" si="1"/>
        <v>3</v>
      </c>
      <c r="Y23" s="14">
        <f t="shared" si="17"/>
        <v>4.8387096774193547E-2</v>
      </c>
      <c r="AA23" s="6">
        <f t="shared" si="18"/>
        <v>0</v>
      </c>
      <c r="AB23" s="6">
        <f t="shared" si="2"/>
        <v>1</v>
      </c>
      <c r="AC23" s="6">
        <f t="shared" si="3"/>
        <v>0</v>
      </c>
      <c r="AD23" s="6">
        <f t="shared" si="4"/>
        <v>0</v>
      </c>
      <c r="AE23" s="6">
        <f t="shared" si="5"/>
        <v>0</v>
      </c>
      <c r="AF23" s="6">
        <f t="shared" si="6"/>
        <v>0</v>
      </c>
      <c r="AG23" s="6">
        <f t="shared" si="7"/>
        <v>0</v>
      </c>
      <c r="AH23" s="6">
        <f t="shared" si="8"/>
        <v>1</v>
      </c>
      <c r="AI23" s="6">
        <f t="shared" si="9"/>
        <v>0</v>
      </c>
      <c r="AJ23" s="6">
        <f t="shared" si="10"/>
        <v>0</v>
      </c>
      <c r="AK23" s="6">
        <f t="shared" si="11"/>
        <v>0</v>
      </c>
      <c r="AM23" s="15">
        <f t="shared" si="41"/>
        <v>0</v>
      </c>
      <c r="AN23" s="15">
        <f t="shared" si="19"/>
        <v>0.40824829046386307</v>
      </c>
      <c r="AO23" s="15">
        <f t="shared" si="20"/>
        <v>0</v>
      </c>
      <c r="AP23" s="15">
        <f>AD23/SQRT(AD$12^2+AD$13^2+AD$14^2+AD$15^2+AD$16^2+AD$17^2+AD$18^2+AD$19^2+AD$20^2+AD$21^2+AD$22^2+AD$23^2)</f>
        <v>0</v>
      </c>
      <c r="AQ23" s="15">
        <f>AE23/SQRT(AE$12^2+AE$13^2+AE$14^2+AE$15^2+AE$16^2+AE$17^2+AE$18^2+AE$19^2+AE$20^2+AE$21^2+AE$22^2+AE$23^2)</f>
        <v>0</v>
      </c>
      <c r="AR23" s="15">
        <f t="shared" si="22"/>
        <v>0</v>
      </c>
      <c r="AS23" s="15">
        <f t="shared" si="23"/>
        <v>0</v>
      </c>
      <c r="AT23" s="15">
        <f t="shared" si="24"/>
        <v>0.70710678118654746</v>
      </c>
      <c r="AU23" s="15">
        <f t="shared" si="25"/>
        <v>0</v>
      </c>
      <c r="AV23" s="15">
        <f>AJ23/SQRT(AJ$12^2+AJ$13^2+AJ$14^2+AJ$15^2+AJ$16^2+AJ$17^2+AJ$18^2+AJ$19^2+AJ$20^2+AJ$21^2+AJ$22^2+AJ$23^2)</f>
        <v>0</v>
      </c>
      <c r="AW23" s="15">
        <f t="shared" si="26"/>
        <v>0</v>
      </c>
      <c r="BM23" s="42" t="str">
        <f t="shared" ref="BM23" si="53">IF(AZ23&gt;2/3,"yes","")</f>
        <v/>
      </c>
      <c r="BN23" s="42" t="str">
        <f t="shared" ref="BN23:BW23" si="54">IF(BA23&gt;2/3,"yes","")</f>
        <v/>
      </c>
      <c r="BO23" s="42" t="str">
        <f t="shared" si="54"/>
        <v/>
      </c>
      <c r="BP23" s="42" t="str">
        <f t="shared" si="54"/>
        <v/>
      </c>
      <c r="BQ23" s="42" t="str">
        <f t="shared" si="54"/>
        <v/>
      </c>
      <c r="BR23" s="42" t="str">
        <f t="shared" si="54"/>
        <v/>
      </c>
      <c r="BS23" s="42" t="str">
        <f t="shared" si="54"/>
        <v/>
      </c>
      <c r="BT23" s="42" t="str">
        <f t="shared" si="54"/>
        <v/>
      </c>
      <c r="BU23" s="42" t="str">
        <f t="shared" si="54"/>
        <v/>
      </c>
      <c r="BV23" s="42" t="str">
        <f t="shared" si="54"/>
        <v/>
      </c>
      <c r="BW23" s="42" t="str">
        <f t="shared" si="54"/>
        <v/>
      </c>
    </row>
    <row r="24" spans="1:75" ht="13.8" customHeight="1" x14ac:dyDescent="0.3">
      <c r="A24" s="18"/>
      <c r="B24" s="19" t="s">
        <v>58</v>
      </c>
      <c r="C24" s="71">
        <f>SUM(C12:C23)</f>
        <v>43</v>
      </c>
      <c r="D24" s="72">
        <f>SUM(D12:D23)</f>
        <v>1</v>
      </c>
      <c r="E24" s="20" t="s">
        <v>59</v>
      </c>
      <c r="F24" s="20" t="s">
        <v>59</v>
      </c>
      <c r="G24" s="20" t="s">
        <v>59</v>
      </c>
      <c r="H24" s="20" t="s">
        <v>60</v>
      </c>
      <c r="I24" s="20" t="s">
        <v>59</v>
      </c>
      <c r="J24" s="20" t="s">
        <v>59</v>
      </c>
      <c r="K24" s="20" t="s">
        <v>59</v>
      </c>
      <c r="L24" s="20" t="s">
        <v>60</v>
      </c>
      <c r="M24" s="20" t="s">
        <v>59</v>
      </c>
      <c r="N24" s="20" t="s">
        <v>60</v>
      </c>
      <c r="O24" s="20" t="s">
        <v>59</v>
      </c>
      <c r="P24" s="20"/>
      <c r="Q24" s="21"/>
      <c r="R24" s="21"/>
      <c r="S24" s="21"/>
      <c r="T24" s="21"/>
      <c r="U24" s="21"/>
      <c r="V24" s="21"/>
      <c r="W24" s="21"/>
      <c r="X24" s="22">
        <f>SUM(X12:X23)</f>
        <v>62</v>
      </c>
      <c r="Y24" s="41">
        <f t="shared" si="17"/>
        <v>1</v>
      </c>
    </row>
    <row r="25" spans="1:75" ht="13.2" hidden="1" x14ac:dyDescent="0.25">
      <c r="A25" s="18"/>
      <c r="B25" s="23"/>
      <c r="C25" s="8">
        <v>4</v>
      </c>
      <c r="D25" s="9">
        <f t="shared" ref="D25:D37" si="55">C25/SUM($C$12:$C$23)</f>
        <v>9.3023255813953487E-2</v>
      </c>
      <c r="E25" s="24">
        <v>9</v>
      </c>
      <c r="F25" s="24"/>
      <c r="G25" s="24"/>
      <c r="H25" s="24">
        <v>3</v>
      </c>
      <c r="I25" s="24"/>
      <c r="J25" s="24">
        <v>1</v>
      </c>
      <c r="K25" s="24">
        <v>1</v>
      </c>
      <c r="L25" s="24"/>
      <c r="M25" s="24"/>
      <c r="N25" s="24"/>
      <c r="O25" s="24"/>
      <c r="P25" s="24"/>
      <c r="Q25" s="5"/>
      <c r="R25" s="21"/>
      <c r="S25" s="21"/>
      <c r="T25" s="21"/>
      <c r="U25" s="21"/>
      <c r="V25" s="21"/>
      <c r="W25" s="21"/>
      <c r="X25" s="21"/>
      <c r="Y25" s="45">
        <f t="shared" ref="Y25:Y36" si="56">Y12</f>
        <v>0.12096774193548387</v>
      </c>
    </row>
    <row r="26" spans="1:75" ht="13.2" hidden="1" x14ac:dyDescent="0.25">
      <c r="A26" s="18"/>
      <c r="B26" s="23"/>
      <c r="C26" s="4">
        <v>4</v>
      </c>
      <c r="D26" s="9">
        <f t="shared" si="55"/>
        <v>9.3023255813953487E-2</v>
      </c>
      <c r="E26" s="24">
        <v>3</v>
      </c>
      <c r="F26" s="24"/>
      <c r="G26" s="24">
        <v>9</v>
      </c>
      <c r="H26" s="24">
        <v>1</v>
      </c>
      <c r="I26" s="24">
        <v>3</v>
      </c>
      <c r="J26" s="24"/>
      <c r="K26" s="24">
        <v>1</v>
      </c>
      <c r="L26" s="24">
        <v>1</v>
      </c>
      <c r="M26" s="24"/>
      <c r="N26" s="24"/>
      <c r="O26" s="24"/>
      <c r="P26" s="24"/>
      <c r="Q26" s="5"/>
      <c r="R26" s="21"/>
      <c r="S26" s="21"/>
      <c r="T26" s="21"/>
      <c r="U26" s="21"/>
      <c r="V26" s="21"/>
      <c r="W26" s="21"/>
      <c r="X26" s="21"/>
      <c r="Y26" s="45">
        <f t="shared" si="56"/>
        <v>0.12096774193548387</v>
      </c>
    </row>
    <row r="27" spans="1:75" ht="13.2" hidden="1" x14ac:dyDescent="0.25">
      <c r="A27" s="18"/>
      <c r="B27" s="23"/>
      <c r="C27" s="4">
        <v>4</v>
      </c>
      <c r="D27" s="9">
        <f t="shared" si="55"/>
        <v>9.3023255813953487E-2</v>
      </c>
      <c r="E27" s="24"/>
      <c r="F27" s="24"/>
      <c r="G27" s="24">
        <v>9</v>
      </c>
      <c r="H27" s="24"/>
      <c r="I27" s="24">
        <v>9</v>
      </c>
      <c r="J27" s="24"/>
      <c r="K27" s="24"/>
      <c r="L27" s="24"/>
      <c r="M27" s="24"/>
      <c r="N27" s="24"/>
      <c r="O27" s="24"/>
      <c r="P27" s="24"/>
      <c r="Q27" s="5"/>
      <c r="R27" s="21"/>
      <c r="S27" s="21"/>
      <c r="T27" s="21"/>
      <c r="U27" s="21"/>
      <c r="V27" s="21"/>
      <c r="W27" s="21"/>
      <c r="X27" s="21"/>
      <c r="Y27" s="45">
        <f t="shared" si="56"/>
        <v>0.10322580645161289</v>
      </c>
    </row>
    <row r="28" spans="1:75" ht="13.2" hidden="1" x14ac:dyDescent="0.25">
      <c r="A28" s="18"/>
      <c r="B28" s="23"/>
      <c r="C28" s="4">
        <v>3</v>
      </c>
      <c r="D28" s="9">
        <f t="shared" si="55"/>
        <v>6.9767441860465115E-2</v>
      </c>
      <c r="E28" s="24"/>
      <c r="F28" s="24"/>
      <c r="G28" s="24"/>
      <c r="H28" s="24"/>
      <c r="I28" s="24"/>
      <c r="J28" s="24"/>
      <c r="K28" s="24"/>
      <c r="L28" s="24">
        <v>1</v>
      </c>
      <c r="M28" s="24">
        <v>9</v>
      </c>
      <c r="N28" s="24"/>
      <c r="O28" s="24"/>
      <c r="P28" s="24">
        <v>9</v>
      </c>
      <c r="Q28" s="5"/>
      <c r="R28" s="21"/>
      <c r="S28" s="21"/>
      <c r="T28" s="21"/>
      <c r="U28" s="21"/>
      <c r="V28" s="21"/>
      <c r="W28" s="21"/>
      <c r="X28" s="21"/>
      <c r="Y28" s="45">
        <f t="shared" si="56"/>
        <v>6.4516129032258063E-2</v>
      </c>
    </row>
    <row r="29" spans="1:75" ht="13.2" hidden="1" x14ac:dyDescent="0.25">
      <c r="A29" s="18"/>
      <c r="B29" s="23"/>
      <c r="C29" s="4">
        <v>4</v>
      </c>
      <c r="D29" s="9">
        <f t="shared" si="55"/>
        <v>9.3023255813953487E-2</v>
      </c>
      <c r="E29" s="24"/>
      <c r="F29" s="24">
        <v>9</v>
      </c>
      <c r="G29" s="24"/>
      <c r="H29" s="24"/>
      <c r="I29" s="24"/>
      <c r="J29" s="24">
        <v>3</v>
      </c>
      <c r="K29" s="24"/>
      <c r="L29" s="24"/>
      <c r="M29" s="24"/>
      <c r="N29" s="24"/>
      <c r="O29" s="24"/>
      <c r="P29" s="24"/>
      <c r="Q29" s="5"/>
      <c r="R29" s="21"/>
      <c r="S29" s="21"/>
      <c r="T29" s="21"/>
      <c r="U29" s="21"/>
      <c r="V29" s="21"/>
      <c r="W29" s="21"/>
      <c r="X29" s="21"/>
      <c r="Y29" s="45">
        <f t="shared" si="56"/>
        <v>0.16129032258064516</v>
      </c>
    </row>
    <row r="30" spans="1:75" ht="13.2" hidden="1" x14ac:dyDescent="0.25">
      <c r="A30" s="18"/>
      <c r="B30" s="23"/>
      <c r="C30" s="4">
        <v>4</v>
      </c>
      <c r="D30" s="9">
        <f t="shared" si="55"/>
        <v>9.3023255813953487E-2</v>
      </c>
      <c r="E30" s="24">
        <v>9</v>
      </c>
      <c r="F30" s="24"/>
      <c r="G30" s="24">
        <v>1</v>
      </c>
      <c r="H30" s="24">
        <v>1</v>
      </c>
      <c r="I30" s="24"/>
      <c r="J30" s="24">
        <v>9</v>
      </c>
      <c r="K30" s="24"/>
      <c r="L30" s="24"/>
      <c r="M30" s="24"/>
      <c r="N30" s="24">
        <v>1</v>
      </c>
      <c r="O30" s="24"/>
      <c r="P30" s="24"/>
      <c r="Q30" s="5"/>
      <c r="R30" s="21"/>
      <c r="S30" s="21"/>
      <c r="T30" s="21"/>
      <c r="U30" s="21"/>
      <c r="V30" s="21"/>
      <c r="W30" s="21"/>
      <c r="X30" s="21"/>
      <c r="Y30" s="45">
        <f t="shared" si="56"/>
        <v>9.6774193548387094E-2</v>
      </c>
    </row>
    <row r="31" spans="1:75" ht="13.2" hidden="1" x14ac:dyDescent="0.25">
      <c r="A31" s="18"/>
      <c r="B31" s="23"/>
      <c r="C31" s="4">
        <v>5</v>
      </c>
      <c r="D31" s="9">
        <f t="shared" si="55"/>
        <v>0.11627906976744186</v>
      </c>
      <c r="E31" s="24">
        <v>1</v>
      </c>
      <c r="F31" s="24">
        <v>9</v>
      </c>
      <c r="G31" s="24"/>
      <c r="H31" s="24"/>
      <c r="I31" s="24"/>
      <c r="J31" s="24">
        <v>9</v>
      </c>
      <c r="K31" s="24"/>
      <c r="L31" s="24"/>
      <c r="M31" s="24"/>
      <c r="N31" s="24"/>
      <c r="O31" s="24"/>
      <c r="P31" s="24"/>
      <c r="Q31" s="5"/>
      <c r="R31" s="21"/>
      <c r="S31" s="21"/>
      <c r="T31" s="21"/>
      <c r="U31" s="21"/>
      <c r="V31" s="21"/>
      <c r="W31" s="21"/>
      <c r="X31" s="21"/>
      <c r="Y31" s="45">
        <f t="shared" si="56"/>
        <v>4.8387096774193547E-2</v>
      </c>
    </row>
    <row r="32" spans="1:75" ht="13.2" hidden="1" x14ac:dyDescent="0.25">
      <c r="A32" s="18"/>
      <c r="B32" s="23"/>
      <c r="C32" s="4">
        <v>3</v>
      </c>
      <c r="D32" s="9">
        <f t="shared" si="55"/>
        <v>6.9767441860465115E-2</v>
      </c>
      <c r="E32" s="24"/>
      <c r="F32" s="24"/>
      <c r="G32" s="24"/>
      <c r="H32" s="24"/>
      <c r="I32" s="24"/>
      <c r="J32" s="24"/>
      <c r="K32" s="24"/>
      <c r="L32" s="24"/>
      <c r="M32" s="24">
        <v>3</v>
      </c>
      <c r="N32" s="24">
        <v>1</v>
      </c>
      <c r="O32" s="24"/>
      <c r="P32" s="24">
        <v>9</v>
      </c>
      <c r="Q32" s="5"/>
      <c r="R32" s="21"/>
      <c r="S32" s="21"/>
      <c r="T32" s="21"/>
      <c r="U32" s="21"/>
      <c r="V32" s="21"/>
      <c r="W32" s="21"/>
      <c r="X32" s="21"/>
      <c r="Y32" s="45">
        <f t="shared" si="56"/>
        <v>1.6129032258064516E-2</v>
      </c>
    </row>
    <row r="33" spans="1:25" ht="13.2" hidden="1" x14ac:dyDescent="0.25">
      <c r="A33" s="18"/>
      <c r="B33" s="23"/>
      <c r="C33" s="4">
        <v>2</v>
      </c>
      <c r="D33" s="9">
        <f t="shared" si="55"/>
        <v>4.6511627906976744E-2</v>
      </c>
      <c r="E33" s="24"/>
      <c r="F33" s="24"/>
      <c r="G33" s="24"/>
      <c r="H33" s="24"/>
      <c r="I33" s="24"/>
      <c r="J33" s="24"/>
      <c r="K33" s="24"/>
      <c r="L33" s="24">
        <v>3</v>
      </c>
      <c r="M33" s="24"/>
      <c r="N33" s="24">
        <v>3</v>
      </c>
      <c r="O33" s="24"/>
      <c r="P33" s="24">
        <v>9</v>
      </c>
      <c r="Q33" s="5"/>
      <c r="R33" s="21"/>
      <c r="S33" s="21"/>
      <c r="T33" s="21"/>
      <c r="U33" s="21"/>
      <c r="V33" s="21"/>
      <c r="W33" s="21"/>
      <c r="X33" s="21"/>
      <c r="Y33" s="45">
        <f t="shared" si="56"/>
        <v>6.4516129032258063E-2</v>
      </c>
    </row>
    <row r="34" spans="1:25" ht="13.2" hidden="1" x14ac:dyDescent="0.25">
      <c r="A34" s="18"/>
      <c r="B34" s="23"/>
      <c r="C34" s="4">
        <v>4</v>
      </c>
      <c r="D34" s="9">
        <f t="shared" si="55"/>
        <v>9.3023255813953487E-2</v>
      </c>
      <c r="E34" s="24"/>
      <c r="F34" s="24"/>
      <c r="G34" s="24">
        <v>3</v>
      </c>
      <c r="H34" s="24">
        <v>9</v>
      </c>
      <c r="I34" s="24"/>
      <c r="J34" s="24"/>
      <c r="K34" s="24"/>
      <c r="L34" s="24"/>
      <c r="M34" s="24"/>
      <c r="N34" s="24"/>
      <c r="O34" s="24"/>
      <c r="P34" s="24"/>
      <c r="Q34" s="5"/>
      <c r="R34" s="21"/>
      <c r="S34" s="21"/>
      <c r="T34" s="21"/>
      <c r="U34" s="21"/>
      <c r="V34" s="21"/>
      <c r="W34" s="21"/>
      <c r="X34" s="21"/>
      <c r="Y34" s="45">
        <f t="shared" si="56"/>
        <v>9.6774193548387094E-2</v>
      </c>
    </row>
    <row r="35" spans="1:25" ht="13.2" hidden="1" x14ac:dyDescent="0.25">
      <c r="A35" s="18"/>
      <c r="B35" s="23"/>
      <c r="C35" s="4">
        <v>5</v>
      </c>
      <c r="D35" s="9">
        <f t="shared" si="55"/>
        <v>0.11627906976744186</v>
      </c>
      <c r="E35" s="24"/>
      <c r="F35" s="24"/>
      <c r="G35" s="24">
        <v>9</v>
      </c>
      <c r="H35" s="24">
        <v>9</v>
      </c>
      <c r="I35" s="24">
        <v>9</v>
      </c>
      <c r="J35" s="24"/>
      <c r="K35" s="24"/>
      <c r="L35" s="24"/>
      <c r="M35" s="24"/>
      <c r="N35" s="24"/>
      <c r="O35" s="24"/>
      <c r="P35" s="24"/>
      <c r="Q35" s="5"/>
      <c r="R35" s="21"/>
      <c r="S35" s="21"/>
      <c r="T35" s="21"/>
      <c r="U35" s="21"/>
      <c r="V35" s="21"/>
      <c r="W35" s="21"/>
      <c r="X35" s="21"/>
      <c r="Y35" s="45">
        <f t="shared" si="56"/>
        <v>5.8064516129032254E-2</v>
      </c>
    </row>
    <row r="36" spans="1:25" ht="13.2" hidden="1" x14ac:dyDescent="0.25">
      <c r="A36" s="18"/>
      <c r="B36" s="23"/>
      <c r="C36" s="4">
        <v>3</v>
      </c>
      <c r="D36" s="9">
        <f t="shared" si="55"/>
        <v>6.9767441860465115E-2</v>
      </c>
      <c r="E36" s="24"/>
      <c r="F36" s="24">
        <v>1</v>
      </c>
      <c r="G36" s="24"/>
      <c r="H36" s="24">
        <v>9</v>
      </c>
      <c r="I36" s="24">
        <v>9</v>
      </c>
      <c r="J36" s="24"/>
      <c r="K36" s="24"/>
      <c r="L36" s="24"/>
      <c r="M36" s="24"/>
      <c r="N36" s="24"/>
      <c r="O36" s="24"/>
      <c r="P36" s="24"/>
      <c r="Q36" s="5"/>
      <c r="R36" s="21"/>
      <c r="S36" s="21"/>
      <c r="T36" s="21"/>
      <c r="U36" s="21"/>
      <c r="V36" s="21"/>
      <c r="W36" s="21"/>
      <c r="X36" s="21"/>
      <c r="Y36" s="45">
        <f t="shared" si="56"/>
        <v>4.8387096774193547E-2</v>
      </c>
    </row>
    <row r="37" spans="1:25" ht="13.2" hidden="1" x14ac:dyDescent="0.25">
      <c r="A37" s="18"/>
      <c r="B37" s="23"/>
      <c r="C37" s="4">
        <v>5</v>
      </c>
      <c r="D37" s="9">
        <f t="shared" si="55"/>
        <v>0.11627906976744186</v>
      </c>
      <c r="E37" s="24">
        <v>1</v>
      </c>
      <c r="F37" s="24">
        <v>3</v>
      </c>
      <c r="G37" s="24">
        <v>9</v>
      </c>
      <c r="H37" s="24">
        <v>9</v>
      </c>
      <c r="I37" s="24">
        <v>9</v>
      </c>
      <c r="J37" s="24"/>
      <c r="K37" s="24"/>
      <c r="L37" s="24"/>
      <c r="M37" s="24"/>
      <c r="N37" s="24"/>
      <c r="O37" s="24"/>
      <c r="P37" s="24"/>
      <c r="Q37" s="5"/>
      <c r="R37" s="21"/>
      <c r="S37" s="21"/>
      <c r="T37" s="21"/>
      <c r="U37" s="21"/>
      <c r="V37" s="21"/>
      <c r="W37" s="21"/>
      <c r="X37" s="21"/>
      <c r="Y37" s="45" t="e">
        <f>#REF!</f>
        <v>#REF!</v>
      </c>
    </row>
    <row r="38" spans="1:25" ht="13.2" hidden="1" x14ac:dyDescent="0.25">
      <c r="A38" s="18"/>
      <c r="B38" s="23"/>
      <c r="C38" s="26"/>
      <c r="D38" s="27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5"/>
      <c r="R38" s="21"/>
      <c r="S38" s="21"/>
      <c r="T38" s="21"/>
      <c r="U38" s="21"/>
      <c r="V38" s="21"/>
      <c r="W38" s="21"/>
      <c r="X38" s="21"/>
      <c r="Y38" s="46"/>
    </row>
    <row r="39" spans="1:25" ht="13.2" hidden="1" x14ac:dyDescent="0.25">
      <c r="A39" s="18"/>
      <c r="B39" s="23"/>
      <c r="C39" s="26"/>
      <c r="D39" s="28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1"/>
      <c r="R39" s="21"/>
      <c r="S39" s="21"/>
      <c r="T39" s="21"/>
      <c r="U39" s="21"/>
      <c r="V39" s="21"/>
      <c r="W39" s="21"/>
      <c r="X39" s="21"/>
      <c r="Y39" s="30"/>
    </row>
    <row r="40" spans="1:25" ht="13.2" hidden="1" x14ac:dyDescent="0.25">
      <c r="A40" s="18"/>
      <c r="B40" s="23"/>
      <c r="C40" s="26"/>
      <c r="D40" s="28"/>
      <c r="E40" s="31">
        <f t="shared" ref="E40:P40" si="57">$D25*E25</f>
        <v>0.83720930232558133</v>
      </c>
      <c r="F40" s="31">
        <f t="shared" si="57"/>
        <v>0</v>
      </c>
      <c r="G40" s="31">
        <f t="shared" si="57"/>
        <v>0</v>
      </c>
      <c r="H40" s="31">
        <f t="shared" si="57"/>
        <v>0.27906976744186046</v>
      </c>
      <c r="I40" s="31">
        <f t="shared" si="57"/>
        <v>0</v>
      </c>
      <c r="J40" s="31">
        <f t="shared" si="57"/>
        <v>9.3023255813953487E-2</v>
      </c>
      <c r="K40" s="31">
        <f t="shared" si="57"/>
        <v>9.3023255813953487E-2</v>
      </c>
      <c r="L40" s="31">
        <f t="shared" si="57"/>
        <v>0</v>
      </c>
      <c r="M40" s="31">
        <f t="shared" si="57"/>
        <v>0</v>
      </c>
      <c r="N40" s="31">
        <f t="shared" si="57"/>
        <v>0</v>
      </c>
      <c r="O40" s="31"/>
      <c r="P40" s="31">
        <f t="shared" si="57"/>
        <v>0</v>
      </c>
      <c r="Q40" s="32"/>
      <c r="R40" s="21"/>
      <c r="S40" s="21"/>
      <c r="T40" s="21"/>
      <c r="U40" s="21"/>
      <c r="V40" s="21"/>
      <c r="W40" s="21"/>
      <c r="X40" s="21"/>
      <c r="Y40" s="30"/>
    </row>
    <row r="41" spans="1:25" ht="13.2" hidden="1" x14ac:dyDescent="0.25">
      <c r="A41" s="18"/>
      <c r="B41" s="23"/>
      <c r="C41" s="26"/>
      <c r="D41" s="28"/>
      <c r="E41" s="31">
        <f t="shared" ref="E41:P41" si="58">$D26*E26</f>
        <v>0.27906976744186046</v>
      </c>
      <c r="F41" s="31">
        <f t="shared" si="58"/>
        <v>0</v>
      </c>
      <c r="G41" s="31">
        <f t="shared" si="58"/>
        <v>0.83720930232558133</v>
      </c>
      <c r="H41" s="31">
        <f t="shared" si="58"/>
        <v>9.3023255813953487E-2</v>
      </c>
      <c r="I41" s="31">
        <f t="shared" si="58"/>
        <v>0.27906976744186046</v>
      </c>
      <c r="J41" s="31">
        <f t="shared" si="58"/>
        <v>0</v>
      </c>
      <c r="K41" s="31">
        <f t="shared" si="58"/>
        <v>9.3023255813953487E-2</v>
      </c>
      <c r="L41" s="31">
        <f t="shared" si="58"/>
        <v>9.3023255813953487E-2</v>
      </c>
      <c r="M41" s="31">
        <f t="shared" si="58"/>
        <v>0</v>
      </c>
      <c r="N41" s="31">
        <f t="shared" si="58"/>
        <v>0</v>
      </c>
      <c r="O41" s="31"/>
      <c r="P41" s="31">
        <f t="shared" si="58"/>
        <v>0</v>
      </c>
      <c r="Q41" s="32"/>
      <c r="R41" s="21"/>
      <c r="S41" s="21"/>
      <c r="T41" s="21"/>
      <c r="U41" s="21"/>
      <c r="V41" s="21"/>
      <c r="W41" s="21"/>
      <c r="X41" s="21"/>
      <c r="Y41" s="30"/>
    </row>
    <row r="42" spans="1:25" ht="13.2" hidden="1" x14ac:dyDescent="0.25">
      <c r="A42" s="18"/>
      <c r="B42" s="23"/>
      <c r="C42" s="26"/>
      <c r="D42" s="28"/>
      <c r="E42" s="31">
        <f t="shared" ref="E42:P42" si="59">$D27*E27</f>
        <v>0</v>
      </c>
      <c r="F42" s="31">
        <f t="shared" si="59"/>
        <v>0</v>
      </c>
      <c r="G42" s="31">
        <f t="shared" si="59"/>
        <v>0.83720930232558133</v>
      </c>
      <c r="H42" s="31">
        <f t="shared" si="59"/>
        <v>0</v>
      </c>
      <c r="I42" s="31">
        <f t="shared" si="59"/>
        <v>0.83720930232558133</v>
      </c>
      <c r="J42" s="31">
        <f t="shared" si="59"/>
        <v>0</v>
      </c>
      <c r="K42" s="31">
        <f t="shared" si="59"/>
        <v>0</v>
      </c>
      <c r="L42" s="31">
        <f t="shared" si="59"/>
        <v>0</v>
      </c>
      <c r="M42" s="31">
        <f t="shared" si="59"/>
        <v>0</v>
      </c>
      <c r="N42" s="31">
        <f t="shared" si="59"/>
        <v>0</v>
      </c>
      <c r="O42" s="31"/>
      <c r="P42" s="31">
        <f t="shared" si="59"/>
        <v>0</v>
      </c>
      <c r="Q42" s="32"/>
      <c r="R42" s="21"/>
      <c r="S42" s="21"/>
      <c r="T42" s="21"/>
      <c r="U42" s="21"/>
      <c r="V42" s="21"/>
      <c r="W42" s="21"/>
      <c r="X42" s="21"/>
      <c r="Y42" s="30"/>
    </row>
    <row r="43" spans="1:25" ht="13.2" hidden="1" x14ac:dyDescent="0.25">
      <c r="A43" s="18"/>
      <c r="B43" s="23"/>
      <c r="C43" s="26"/>
      <c r="D43" s="28"/>
      <c r="E43" s="31">
        <f t="shared" ref="E43:P43" si="60">$D28*E28</f>
        <v>0</v>
      </c>
      <c r="F43" s="31">
        <f t="shared" si="60"/>
        <v>0</v>
      </c>
      <c r="G43" s="31">
        <f t="shared" si="60"/>
        <v>0</v>
      </c>
      <c r="H43" s="31">
        <f t="shared" si="60"/>
        <v>0</v>
      </c>
      <c r="I43" s="31">
        <f t="shared" si="60"/>
        <v>0</v>
      </c>
      <c r="J43" s="31">
        <f t="shared" si="60"/>
        <v>0</v>
      </c>
      <c r="K43" s="31">
        <f t="shared" si="60"/>
        <v>0</v>
      </c>
      <c r="L43" s="31">
        <f t="shared" si="60"/>
        <v>6.9767441860465115E-2</v>
      </c>
      <c r="M43" s="31">
        <f t="shared" si="60"/>
        <v>0.62790697674418605</v>
      </c>
      <c r="N43" s="31">
        <f t="shared" si="60"/>
        <v>0</v>
      </c>
      <c r="O43" s="31"/>
      <c r="P43" s="31">
        <f t="shared" si="60"/>
        <v>0.62790697674418605</v>
      </c>
      <c r="Q43" s="32"/>
      <c r="R43" s="21"/>
      <c r="S43" s="21"/>
      <c r="T43" s="21"/>
      <c r="U43" s="21"/>
      <c r="V43" s="21"/>
      <c r="W43" s="21"/>
      <c r="X43" s="21"/>
      <c r="Y43" s="30"/>
    </row>
    <row r="44" spans="1:25" ht="13.2" hidden="1" x14ac:dyDescent="0.25">
      <c r="A44" s="18"/>
      <c r="B44" s="23"/>
      <c r="C44" s="26"/>
      <c r="D44" s="28"/>
      <c r="E44" s="31">
        <f t="shared" ref="E44:P44" si="61">$D29*E29</f>
        <v>0</v>
      </c>
      <c r="F44" s="31">
        <f t="shared" si="61"/>
        <v>0.83720930232558133</v>
      </c>
      <c r="G44" s="31">
        <f t="shared" si="61"/>
        <v>0</v>
      </c>
      <c r="H44" s="31">
        <f t="shared" si="61"/>
        <v>0</v>
      </c>
      <c r="I44" s="31">
        <f t="shared" si="61"/>
        <v>0</v>
      </c>
      <c r="J44" s="31">
        <f t="shared" si="61"/>
        <v>0.27906976744186046</v>
      </c>
      <c r="K44" s="31">
        <f t="shared" si="61"/>
        <v>0</v>
      </c>
      <c r="L44" s="31">
        <f t="shared" si="61"/>
        <v>0</v>
      </c>
      <c r="M44" s="31">
        <f t="shared" si="61"/>
        <v>0</v>
      </c>
      <c r="N44" s="31">
        <f t="shared" si="61"/>
        <v>0</v>
      </c>
      <c r="O44" s="31"/>
      <c r="P44" s="31">
        <f t="shared" si="61"/>
        <v>0</v>
      </c>
      <c r="Q44" s="32"/>
      <c r="R44" s="21"/>
      <c r="S44" s="21"/>
      <c r="T44" s="21"/>
      <c r="U44" s="21"/>
      <c r="V44" s="21"/>
      <c r="W44" s="21"/>
      <c r="X44" s="21"/>
      <c r="Y44" s="30"/>
    </row>
    <row r="45" spans="1:25" ht="13.2" hidden="1" x14ac:dyDescent="0.25">
      <c r="A45" s="18"/>
      <c r="B45" s="23"/>
      <c r="C45" s="26"/>
      <c r="D45" s="28"/>
      <c r="E45" s="31">
        <f t="shared" ref="E45:P45" si="62">$D30*E30</f>
        <v>0.83720930232558133</v>
      </c>
      <c r="F45" s="31">
        <f t="shared" si="62"/>
        <v>0</v>
      </c>
      <c r="G45" s="31">
        <f t="shared" si="62"/>
        <v>9.3023255813953487E-2</v>
      </c>
      <c r="H45" s="31">
        <f t="shared" si="62"/>
        <v>9.3023255813953487E-2</v>
      </c>
      <c r="I45" s="31">
        <f t="shared" si="62"/>
        <v>0</v>
      </c>
      <c r="J45" s="31">
        <f t="shared" si="62"/>
        <v>0.83720930232558133</v>
      </c>
      <c r="K45" s="31">
        <f t="shared" si="62"/>
        <v>0</v>
      </c>
      <c r="L45" s="31">
        <f t="shared" si="62"/>
        <v>0</v>
      </c>
      <c r="M45" s="31">
        <f t="shared" si="62"/>
        <v>0</v>
      </c>
      <c r="N45" s="31">
        <f t="shared" si="62"/>
        <v>9.3023255813953487E-2</v>
      </c>
      <c r="O45" s="31"/>
      <c r="P45" s="31">
        <f t="shared" si="62"/>
        <v>0</v>
      </c>
      <c r="Q45" s="32"/>
      <c r="R45" s="21"/>
      <c r="S45" s="21"/>
      <c r="T45" s="21"/>
      <c r="U45" s="21"/>
      <c r="V45" s="21"/>
      <c r="W45" s="21"/>
      <c r="X45" s="21"/>
      <c r="Y45" s="30"/>
    </row>
    <row r="46" spans="1:25" ht="13.2" hidden="1" x14ac:dyDescent="0.25">
      <c r="A46" s="18"/>
      <c r="B46" s="23"/>
      <c r="C46" s="26"/>
      <c r="D46" s="28"/>
      <c r="E46" s="31">
        <f t="shared" ref="E46:P46" si="63">$D31*E31</f>
        <v>0.11627906976744186</v>
      </c>
      <c r="F46" s="31">
        <f t="shared" si="63"/>
        <v>1.0465116279069768</v>
      </c>
      <c r="G46" s="31">
        <f t="shared" si="63"/>
        <v>0</v>
      </c>
      <c r="H46" s="31">
        <f t="shared" si="63"/>
        <v>0</v>
      </c>
      <c r="I46" s="31">
        <f t="shared" si="63"/>
        <v>0</v>
      </c>
      <c r="J46" s="31">
        <f t="shared" si="63"/>
        <v>1.0465116279069768</v>
      </c>
      <c r="K46" s="31">
        <f t="shared" si="63"/>
        <v>0</v>
      </c>
      <c r="L46" s="31">
        <f t="shared" si="63"/>
        <v>0</v>
      </c>
      <c r="M46" s="31">
        <f t="shared" si="63"/>
        <v>0</v>
      </c>
      <c r="N46" s="31">
        <f t="shared" si="63"/>
        <v>0</v>
      </c>
      <c r="O46" s="31"/>
      <c r="P46" s="31">
        <f t="shared" si="63"/>
        <v>0</v>
      </c>
      <c r="Q46" s="32"/>
      <c r="R46" s="21"/>
      <c r="S46" s="21"/>
      <c r="T46" s="21"/>
      <c r="U46" s="21"/>
      <c r="V46" s="21"/>
      <c r="W46" s="21"/>
      <c r="X46" s="21"/>
      <c r="Y46" s="30"/>
    </row>
    <row r="47" spans="1:25" ht="13.2" hidden="1" x14ac:dyDescent="0.25">
      <c r="A47" s="18"/>
      <c r="B47" s="23"/>
      <c r="C47" s="26"/>
      <c r="D47" s="28"/>
      <c r="E47" s="31">
        <f t="shared" ref="E47:P47" si="64">$D32*E32</f>
        <v>0</v>
      </c>
      <c r="F47" s="31">
        <f t="shared" si="64"/>
        <v>0</v>
      </c>
      <c r="G47" s="31">
        <f t="shared" si="64"/>
        <v>0</v>
      </c>
      <c r="H47" s="31">
        <f t="shared" si="64"/>
        <v>0</v>
      </c>
      <c r="I47" s="31">
        <f t="shared" si="64"/>
        <v>0</v>
      </c>
      <c r="J47" s="31">
        <f t="shared" si="64"/>
        <v>0</v>
      </c>
      <c r="K47" s="31">
        <f t="shared" si="64"/>
        <v>0</v>
      </c>
      <c r="L47" s="31">
        <f t="shared" si="64"/>
        <v>0</v>
      </c>
      <c r="M47" s="31">
        <f t="shared" si="64"/>
        <v>0.20930232558139533</v>
      </c>
      <c r="N47" s="31">
        <f t="shared" si="64"/>
        <v>6.9767441860465115E-2</v>
      </c>
      <c r="O47" s="31"/>
      <c r="P47" s="31">
        <f t="shared" si="64"/>
        <v>0.62790697674418605</v>
      </c>
      <c r="Q47" s="32"/>
      <c r="R47" s="21"/>
      <c r="S47" s="21"/>
      <c r="T47" s="21"/>
      <c r="U47" s="21"/>
      <c r="V47" s="21"/>
      <c r="W47" s="21"/>
      <c r="X47" s="21"/>
      <c r="Y47" s="30"/>
    </row>
    <row r="48" spans="1:25" ht="13.2" hidden="1" x14ac:dyDescent="0.25">
      <c r="A48" s="18"/>
      <c r="B48" s="23"/>
      <c r="C48" s="26"/>
      <c r="D48" s="28"/>
      <c r="E48" s="31">
        <f t="shared" ref="E48:P48" si="65">$D33*E33</f>
        <v>0</v>
      </c>
      <c r="F48" s="31">
        <f t="shared" si="65"/>
        <v>0</v>
      </c>
      <c r="G48" s="31">
        <f t="shared" si="65"/>
        <v>0</v>
      </c>
      <c r="H48" s="31">
        <f t="shared" si="65"/>
        <v>0</v>
      </c>
      <c r="I48" s="31">
        <f t="shared" si="65"/>
        <v>0</v>
      </c>
      <c r="J48" s="31">
        <f t="shared" si="65"/>
        <v>0</v>
      </c>
      <c r="K48" s="31">
        <f t="shared" si="65"/>
        <v>0</v>
      </c>
      <c r="L48" s="31">
        <f t="shared" si="65"/>
        <v>0.13953488372093023</v>
      </c>
      <c r="M48" s="31">
        <f t="shared" si="65"/>
        <v>0</v>
      </c>
      <c r="N48" s="31">
        <f t="shared" si="65"/>
        <v>0.13953488372093023</v>
      </c>
      <c r="O48" s="31"/>
      <c r="P48" s="31">
        <f t="shared" si="65"/>
        <v>0.41860465116279066</v>
      </c>
      <c r="Q48" s="32"/>
      <c r="R48" s="21"/>
      <c r="S48" s="21"/>
      <c r="T48" s="21"/>
      <c r="U48" s="21"/>
      <c r="V48" s="21"/>
      <c r="W48" s="21"/>
      <c r="X48" s="21"/>
      <c r="Y48" s="30"/>
    </row>
    <row r="49" spans="1:25" ht="13.2" hidden="1" x14ac:dyDescent="0.25">
      <c r="A49" s="18"/>
      <c r="B49" s="23"/>
      <c r="C49" s="26"/>
      <c r="D49" s="28"/>
      <c r="E49" s="31">
        <f t="shared" ref="E49:P49" si="66">$D34*E34</f>
        <v>0</v>
      </c>
      <c r="F49" s="31">
        <f t="shared" si="66"/>
        <v>0</v>
      </c>
      <c r="G49" s="31">
        <f t="shared" si="66"/>
        <v>0.27906976744186046</v>
      </c>
      <c r="H49" s="31">
        <f t="shared" ref="H49:K52" si="67">$D34*H34</f>
        <v>0.83720930232558133</v>
      </c>
      <c r="I49" s="31">
        <f t="shared" si="67"/>
        <v>0</v>
      </c>
      <c r="J49" s="31">
        <f t="shared" si="67"/>
        <v>0</v>
      </c>
      <c r="K49" s="31">
        <f t="shared" si="67"/>
        <v>0</v>
      </c>
      <c r="L49" s="31">
        <f t="shared" si="66"/>
        <v>0</v>
      </c>
      <c r="M49" s="31">
        <f t="shared" si="66"/>
        <v>0</v>
      </c>
      <c r="N49" s="31">
        <f t="shared" si="66"/>
        <v>0</v>
      </c>
      <c r="O49" s="31"/>
      <c r="P49" s="31">
        <f t="shared" si="66"/>
        <v>0</v>
      </c>
      <c r="Q49" s="32"/>
      <c r="R49" s="21"/>
      <c r="S49" s="21"/>
      <c r="T49" s="21"/>
      <c r="U49" s="21"/>
      <c r="V49" s="21"/>
      <c r="W49" s="21"/>
      <c r="X49" s="21"/>
      <c r="Y49" s="30"/>
    </row>
    <row r="50" spans="1:25" ht="13.2" hidden="1" x14ac:dyDescent="0.25">
      <c r="A50" s="18"/>
      <c r="B50" s="23"/>
      <c r="C50" s="26"/>
      <c r="D50" s="28"/>
      <c r="E50" s="31">
        <f t="shared" ref="E50:G52" si="68">$D35*E35</f>
        <v>0</v>
      </c>
      <c r="F50" s="31">
        <f t="shared" si="68"/>
        <v>0</v>
      </c>
      <c r="G50" s="31">
        <f t="shared" si="68"/>
        <v>1.0465116279069768</v>
      </c>
      <c r="H50" s="31">
        <f t="shared" si="67"/>
        <v>1.0465116279069768</v>
      </c>
      <c r="I50" s="31">
        <f t="shared" si="67"/>
        <v>1.0465116279069768</v>
      </c>
      <c r="J50" s="31">
        <f t="shared" si="67"/>
        <v>0</v>
      </c>
      <c r="K50" s="31">
        <f t="shared" si="67"/>
        <v>0</v>
      </c>
      <c r="L50" s="31">
        <f t="shared" ref="L50:P52" si="69">$D35*L35</f>
        <v>0</v>
      </c>
      <c r="M50" s="31">
        <f t="shared" si="69"/>
        <v>0</v>
      </c>
      <c r="N50" s="31">
        <f t="shared" si="69"/>
        <v>0</v>
      </c>
      <c r="O50" s="31"/>
      <c r="P50" s="31">
        <f t="shared" si="69"/>
        <v>0</v>
      </c>
      <c r="Q50" s="32"/>
      <c r="R50" s="21"/>
      <c r="S50" s="21"/>
      <c r="T50" s="21"/>
      <c r="U50" s="21"/>
      <c r="V50" s="21"/>
      <c r="W50" s="21"/>
      <c r="X50" s="21"/>
      <c r="Y50" s="30"/>
    </row>
    <row r="51" spans="1:25" ht="13.2" hidden="1" x14ac:dyDescent="0.25">
      <c r="A51" s="18"/>
      <c r="B51" s="23"/>
      <c r="C51" s="26"/>
      <c r="D51" s="28"/>
      <c r="E51" s="31">
        <f t="shared" si="68"/>
        <v>0</v>
      </c>
      <c r="F51" s="31">
        <f t="shared" si="68"/>
        <v>6.9767441860465115E-2</v>
      </c>
      <c r="G51" s="31">
        <f t="shared" si="68"/>
        <v>0</v>
      </c>
      <c r="H51" s="31">
        <f t="shared" si="67"/>
        <v>0.62790697674418605</v>
      </c>
      <c r="I51" s="31">
        <f t="shared" si="67"/>
        <v>0.62790697674418605</v>
      </c>
      <c r="J51" s="31">
        <f t="shared" si="67"/>
        <v>0</v>
      </c>
      <c r="K51" s="31">
        <f t="shared" si="67"/>
        <v>0</v>
      </c>
      <c r="L51" s="31">
        <f t="shared" si="69"/>
        <v>0</v>
      </c>
      <c r="M51" s="31">
        <f t="shared" si="69"/>
        <v>0</v>
      </c>
      <c r="N51" s="31">
        <f t="shared" si="69"/>
        <v>0</v>
      </c>
      <c r="O51" s="31"/>
      <c r="P51" s="31">
        <f t="shared" si="69"/>
        <v>0</v>
      </c>
      <c r="Q51" s="32"/>
      <c r="R51" s="21"/>
      <c r="S51" s="21"/>
      <c r="T51" s="21"/>
      <c r="U51" s="21"/>
      <c r="V51" s="21"/>
      <c r="W51" s="21"/>
      <c r="X51" s="21"/>
      <c r="Y51" s="30"/>
    </row>
    <row r="52" spans="1:25" ht="13.2" hidden="1" x14ac:dyDescent="0.25">
      <c r="A52" s="18"/>
      <c r="B52" s="23"/>
      <c r="C52" s="26"/>
      <c r="D52" s="28"/>
      <c r="E52" s="31">
        <f t="shared" si="68"/>
        <v>0.11627906976744186</v>
      </c>
      <c r="F52" s="31">
        <f t="shared" si="68"/>
        <v>0.34883720930232559</v>
      </c>
      <c r="G52" s="31">
        <f t="shared" si="68"/>
        <v>1.0465116279069768</v>
      </c>
      <c r="H52" s="31">
        <f t="shared" si="67"/>
        <v>1.0465116279069768</v>
      </c>
      <c r="I52" s="31">
        <f t="shared" si="67"/>
        <v>1.0465116279069768</v>
      </c>
      <c r="J52" s="31">
        <f t="shared" si="67"/>
        <v>0</v>
      </c>
      <c r="K52" s="31">
        <f t="shared" si="67"/>
        <v>0</v>
      </c>
      <c r="L52" s="31">
        <f t="shared" si="69"/>
        <v>0</v>
      </c>
      <c r="M52" s="31">
        <f t="shared" si="69"/>
        <v>0</v>
      </c>
      <c r="N52" s="31">
        <f t="shared" si="69"/>
        <v>0</v>
      </c>
      <c r="O52" s="31"/>
      <c r="P52" s="31">
        <f t="shared" si="69"/>
        <v>0</v>
      </c>
      <c r="Q52" s="32"/>
      <c r="R52" s="21"/>
      <c r="S52" s="21"/>
      <c r="T52" s="21"/>
      <c r="U52" s="21"/>
      <c r="V52" s="21"/>
      <c r="W52" s="21"/>
      <c r="X52" s="21"/>
      <c r="Y52" s="30"/>
    </row>
    <row r="53" spans="1:25" ht="13.2" hidden="1" x14ac:dyDescent="0.25">
      <c r="A53" s="18"/>
      <c r="B53" s="23"/>
      <c r="C53" s="23"/>
      <c r="D53" s="2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21"/>
      <c r="R53" s="21"/>
      <c r="S53" s="21"/>
      <c r="T53" s="21"/>
      <c r="U53" s="21"/>
      <c r="V53" s="21"/>
      <c r="W53" s="21"/>
      <c r="X53" s="21"/>
      <c r="Y53" s="21"/>
    </row>
    <row r="54" spans="1:25" ht="13.2" hidden="1" x14ac:dyDescent="0.25">
      <c r="A54" s="18"/>
      <c r="B54" s="23"/>
      <c r="C54" s="23"/>
      <c r="D54" s="23"/>
      <c r="E54" s="31">
        <f t="shared" ref="E54:P54" si="70">$Y25*E25</f>
        <v>1.088709677419355</v>
      </c>
      <c r="F54" s="31">
        <f t="shared" si="70"/>
        <v>0</v>
      </c>
      <c r="G54" s="31">
        <f t="shared" si="70"/>
        <v>0</v>
      </c>
      <c r="H54" s="31">
        <f t="shared" si="70"/>
        <v>0.36290322580645162</v>
      </c>
      <c r="I54" s="31">
        <f t="shared" si="70"/>
        <v>0</v>
      </c>
      <c r="J54" s="31">
        <f t="shared" si="70"/>
        <v>0.12096774193548387</v>
      </c>
      <c r="K54" s="31">
        <f t="shared" si="70"/>
        <v>0.12096774193548387</v>
      </c>
      <c r="L54" s="31">
        <f t="shared" si="70"/>
        <v>0</v>
      </c>
      <c r="M54" s="31">
        <f t="shared" si="70"/>
        <v>0</v>
      </c>
      <c r="N54" s="31">
        <f t="shared" si="70"/>
        <v>0</v>
      </c>
      <c r="O54" s="31"/>
      <c r="P54" s="31">
        <f t="shared" si="70"/>
        <v>0</v>
      </c>
      <c r="Q54" s="32"/>
      <c r="R54" s="21"/>
      <c r="S54" s="21"/>
      <c r="T54" s="21"/>
      <c r="U54" s="21"/>
      <c r="V54" s="21"/>
      <c r="W54" s="21"/>
      <c r="X54" s="21"/>
      <c r="Y54" s="21"/>
    </row>
    <row r="55" spans="1:25" ht="13.2" hidden="1" x14ac:dyDescent="0.25">
      <c r="A55" s="18"/>
      <c r="B55" s="23"/>
      <c r="C55" s="23"/>
      <c r="D55" s="23"/>
      <c r="E55" s="31">
        <f t="shared" ref="E55:P55" si="71">$Y26*E26</f>
        <v>0.36290322580645162</v>
      </c>
      <c r="F55" s="31">
        <f t="shared" si="71"/>
        <v>0</v>
      </c>
      <c r="G55" s="31">
        <f t="shared" si="71"/>
        <v>1.088709677419355</v>
      </c>
      <c r="H55" s="31">
        <f t="shared" si="71"/>
        <v>0.12096774193548387</v>
      </c>
      <c r="I55" s="31">
        <f t="shared" si="71"/>
        <v>0.36290322580645162</v>
      </c>
      <c r="J55" s="31">
        <f t="shared" si="71"/>
        <v>0</v>
      </c>
      <c r="K55" s="31">
        <f t="shared" si="71"/>
        <v>0.12096774193548387</v>
      </c>
      <c r="L55" s="31">
        <f t="shared" si="71"/>
        <v>0.12096774193548387</v>
      </c>
      <c r="M55" s="31">
        <f t="shared" si="71"/>
        <v>0</v>
      </c>
      <c r="N55" s="31">
        <f t="shared" si="71"/>
        <v>0</v>
      </c>
      <c r="O55" s="31"/>
      <c r="P55" s="31">
        <f t="shared" si="71"/>
        <v>0</v>
      </c>
      <c r="Q55" s="32"/>
      <c r="R55" s="21"/>
      <c r="S55" s="21"/>
      <c r="T55" s="21"/>
      <c r="U55" s="21"/>
      <c r="V55" s="21"/>
      <c r="W55" s="21"/>
      <c r="X55" s="21"/>
      <c r="Y55" s="21"/>
    </row>
    <row r="56" spans="1:25" ht="13.2" hidden="1" x14ac:dyDescent="0.25">
      <c r="A56" s="18"/>
      <c r="B56" s="23"/>
      <c r="C56" s="23"/>
      <c r="D56" s="23"/>
      <c r="E56" s="31">
        <f t="shared" ref="E56:P56" si="72">$Y27*E27</f>
        <v>0</v>
      </c>
      <c r="F56" s="31">
        <f t="shared" si="72"/>
        <v>0</v>
      </c>
      <c r="G56" s="31">
        <f t="shared" si="72"/>
        <v>0.92903225806451606</v>
      </c>
      <c r="H56" s="31">
        <f t="shared" si="72"/>
        <v>0</v>
      </c>
      <c r="I56" s="31">
        <f t="shared" si="72"/>
        <v>0.92903225806451606</v>
      </c>
      <c r="J56" s="31">
        <f t="shared" si="72"/>
        <v>0</v>
      </c>
      <c r="K56" s="31">
        <f t="shared" si="72"/>
        <v>0</v>
      </c>
      <c r="L56" s="31">
        <f t="shared" si="72"/>
        <v>0</v>
      </c>
      <c r="M56" s="31">
        <f t="shared" si="72"/>
        <v>0</v>
      </c>
      <c r="N56" s="31">
        <f t="shared" si="72"/>
        <v>0</v>
      </c>
      <c r="O56" s="31"/>
      <c r="P56" s="31">
        <f t="shared" si="72"/>
        <v>0</v>
      </c>
      <c r="Q56" s="32"/>
      <c r="R56" s="21"/>
      <c r="S56" s="21"/>
      <c r="T56" s="21"/>
      <c r="U56" s="21"/>
      <c r="V56" s="21"/>
      <c r="W56" s="21"/>
      <c r="X56" s="21"/>
      <c r="Y56" s="21"/>
    </row>
    <row r="57" spans="1:25" ht="13.2" hidden="1" x14ac:dyDescent="0.25">
      <c r="A57" s="18"/>
      <c r="B57" s="23"/>
      <c r="C57" s="23"/>
      <c r="D57" s="23"/>
      <c r="E57" s="31">
        <f t="shared" ref="E57:P57" si="73">$Y28*E28</f>
        <v>0</v>
      </c>
      <c r="F57" s="31">
        <f t="shared" si="73"/>
        <v>0</v>
      </c>
      <c r="G57" s="31">
        <f t="shared" si="73"/>
        <v>0</v>
      </c>
      <c r="H57" s="31">
        <f t="shared" si="73"/>
        <v>0</v>
      </c>
      <c r="I57" s="31">
        <f t="shared" si="73"/>
        <v>0</v>
      </c>
      <c r="J57" s="31">
        <f t="shared" si="73"/>
        <v>0</v>
      </c>
      <c r="K57" s="31">
        <f t="shared" si="73"/>
        <v>0</v>
      </c>
      <c r="L57" s="31">
        <f t="shared" si="73"/>
        <v>6.4516129032258063E-2</v>
      </c>
      <c r="M57" s="31">
        <f t="shared" si="73"/>
        <v>0.58064516129032251</v>
      </c>
      <c r="N57" s="31">
        <f t="shared" si="73"/>
        <v>0</v>
      </c>
      <c r="O57" s="31"/>
      <c r="P57" s="31">
        <f t="shared" si="73"/>
        <v>0.58064516129032251</v>
      </c>
      <c r="Q57" s="32"/>
      <c r="R57" s="21"/>
      <c r="S57" s="21"/>
      <c r="T57" s="21"/>
      <c r="U57" s="21"/>
      <c r="V57" s="21"/>
      <c r="W57" s="21"/>
      <c r="X57" s="21"/>
      <c r="Y57" s="21"/>
    </row>
    <row r="58" spans="1:25" ht="13.2" hidden="1" x14ac:dyDescent="0.25">
      <c r="A58" s="18"/>
      <c r="B58" s="23"/>
      <c r="C58" s="23"/>
      <c r="D58" s="23"/>
      <c r="E58" s="31">
        <f t="shared" ref="E58:P58" si="74">$Y29*E29</f>
        <v>0</v>
      </c>
      <c r="F58" s="31">
        <f t="shared" si="74"/>
        <v>1.4516129032258065</v>
      </c>
      <c r="G58" s="31">
        <f t="shared" si="74"/>
        <v>0</v>
      </c>
      <c r="H58" s="31">
        <f t="shared" si="74"/>
        <v>0</v>
      </c>
      <c r="I58" s="31">
        <f t="shared" si="74"/>
        <v>0</v>
      </c>
      <c r="J58" s="31">
        <f t="shared" si="74"/>
        <v>0.4838709677419355</v>
      </c>
      <c r="K58" s="31">
        <f t="shared" si="74"/>
        <v>0</v>
      </c>
      <c r="L58" s="31">
        <f t="shared" si="74"/>
        <v>0</v>
      </c>
      <c r="M58" s="31">
        <f t="shared" si="74"/>
        <v>0</v>
      </c>
      <c r="N58" s="31">
        <f t="shared" si="74"/>
        <v>0</v>
      </c>
      <c r="O58" s="31"/>
      <c r="P58" s="31">
        <f t="shared" si="74"/>
        <v>0</v>
      </c>
      <c r="Q58" s="32"/>
      <c r="R58" s="21"/>
      <c r="S58" s="21"/>
      <c r="T58" s="21"/>
      <c r="U58" s="21"/>
      <c r="V58" s="21"/>
      <c r="W58" s="21"/>
      <c r="X58" s="21"/>
      <c r="Y58" s="21"/>
    </row>
    <row r="59" spans="1:25" ht="13.2" hidden="1" x14ac:dyDescent="0.25">
      <c r="A59" s="18"/>
      <c r="B59" s="23"/>
      <c r="C59" s="23"/>
      <c r="D59" s="23"/>
      <c r="E59" s="31">
        <f t="shared" ref="E59:P59" si="75">$Y30*E30</f>
        <v>0.87096774193548387</v>
      </c>
      <c r="F59" s="31">
        <f t="shared" si="75"/>
        <v>0</v>
      </c>
      <c r="G59" s="31">
        <f t="shared" si="75"/>
        <v>9.6774193548387094E-2</v>
      </c>
      <c r="H59" s="31">
        <f t="shared" si="75"/>
        <v>9.6774193548387094E-2</v>
      </c>
      <c r="I59" s="31">
        <f t="shared" si="75"/>
        <v>0</v>
      </c>
      <c r="J59" s="31">
        <f t="shared" si="75"/>
        <v>0.87096774193548387</v>
      </c>
      <c r="K59" s="31">
        <f t="shared" si="75"/>
        <v>0</v>
      </c>
      <c r="L59" s="31">
        <f t="shared" si="75"/>
        <v>0</v>
      </c>
      <c r="M59" s="31">
        <f t="shared" si="75"/>
        <v>0</v>
      </c>
      <c r="N59" s="31">
        <f t="shared" si="75"/>
        <v>9.6774193548387094E-2</v>
      </c>
      <c r="O59" s="31"/>
      <c r="P59" s="31">
        <f t="shared" si="75"/>
        <v>0</v>
      </c>
      <c r="Q59" s="32"/>
      <c r="R59" s="21"/>
      <c r="S59" s="21"/>
      <c r="T59" s="21"/>
      <c r="U59" s="21"/>
      <c r="V59" s="21"/>
      <c r="W59" s="21"/>
      <c r="X59" s="21"/>
      <c r="Y59" s="21"/>
    </row>
    <row r="60" spans="1:25" ht="13.2" hidden="1" x14ac:dyDescent="0.25">
      <c r="A60" s="18"/>
      <c r="B60" s="23"/>
      <c r="C60" s="23"/>
      <c r="D60" s="23"/>
      <c r="E60" s="31">
        <f t="shared" ref="E60:P60" si="76">$Y31*E31</f>
        <v>4.8387096774193547E-2</v>
      </c>
      <c r="F60" s="31">
        <f t="shared" si="76"/>
        <v>0.43548387096774194</v>
      </c>
      <c r="G60" s="31">
        <f t="shared" si="76"/>
        <v>0</v>
      </c>
      <c r="H60" s="31">
        <f t="shared" si="76"/>
        <v>0</v>
      </c>
      <c r="I60" s="31">
        <f t="shared" si="76"/>
        <v>0</v>
      </c>
      <c r="J60" s="31">
        <f t="shared" si="76"/>
        <v>0.43548387096774194</v>
      </c>
      <c r="K60" s="31">
        <f t="shared" si="76"/>
        <v>0</v>
      </c>
      <c r="L60" s="31">
        <f t="shared" si="76"/>
        <v>0</v>
      </c>
      <c r="M60" s="31">
        <f t="shared" si="76"/>
        <v>0</v>
      </c>
      <c r="N60" s="31">
        <f t="shared" si="76"/>
        <v>0</v>
      </c>
      <c r="O60" s="31"/>
      <c r="P60" s="31">
        <f t="shared" si="76"/>
        <v>0</v>
      </c>
      <c r="Q60" s="32"/>
      <c r="R60" s="21"/>
      <c r="S60" s="21"/>
      <c r="T60" s="21"/>
      <c r="U60" s="21"/>
      <c r="V60" s="21"/>
      <c r="W60" s="21"/>
      <c r="X60" s="21"/>
      <c r="Y60" s="21"/>
    </row>
    <row r="61" spans="1:25" ht="13.2" hidden="1" x14ac:dyDescent="0.25">
      <c r="A61" s="18"/>
      <c r="B61" s="23"/>
      <c r="C61" s="23"/>
      <c r="D61" s="23"/>
      <c r="E61" s="31">
        <f t="shared" ref="E61:P61" si="77">$Y32*E32</f>
        <v>0</v>
      </c>
      <c r="F61" s="31">
        <f t="shared" si="77"/>
        <v>0</v>
      </c>
      <c r="G61" s="31">
        <f t="shared" si="77"/>
        <v>0</v>
      </c>
      <c r="H61" s="31">
        <f t="shared" si="77"/>
        <v>0</v>
      </c>
      <c r="I61" s="31">
        <f t="shared" si="77"/>
        <v>0</v>
      </c>
      <c r="J61" s="31">
        <f t="shared" si="77"/>
        <v>0</v>
      </c>
      <c r="K61" s="31">
        <f t="shared" si="77"/>
        <v>0</v>
      </c>
      <c r="L61" s="31">
        <f t="shared" si="77"/>
        <v>0</v>
      </c>
      <c r="M61" s="31">
        <f t="shared" si="77"/>
        <v>4.8387096774193547E-2</v>
      </c>
      <c r="N61" s="31">
        <f t="shared" si="77"/>
        <v>1.6129032258064516E-2</v>
      </c>
      <c r="O61" s="31"/>
      <c r="P61" s="31">
        <f t="shared" si="77"/>
        <v>0.14516129032258063</v>
      </c>
      <c r="Q61" s="32"/>
      <c r="R61" s="21"/>
      <c r="S61" s="21"/>
      <c r="T61" s="21"/>
      <c r="U61" s="21"/>
      <c r="V61" s="21"/>
      <c r="W61" s="21"/>
      <c r="X61" s="21"/>
      <c r="Y61" s="21"/>
    </row>
    <row r="62" spans="1:25" ht="13.2" hidden="1" x14ac:dyDescent="0.25">
      <c r="A62" s="18"/>
      <c r="B62" s="23"/>
      <c r="C62" s="23"/>
      <c r="D62" s="23"/>
      <c r="E62" s="31">
        <f t="shared" ref="E62:P62" si="78">$Y33*E33</f>
        <v>0</v>
      </c>
      <c r="F62" s="31">
        <f t="shared" si="78"/>
        <v>0</v>
      </c>
      <c r="G62" s="31">
        <f t="shared" si="78"/>
        <v>0</v>
      </c>
      <c r="H62" s="31">
        <f t="shared" si="78"/>
        <v>0</v>
      </c>
      <c r="I62" s="31">
        <f t="shared" si="78"/>
        <v>0</v>
      </c>
      <c r="J62" s="31">
        <f t="shared" si="78"/>
        <v>0</v>
      </c>
      <c r="K62" s="31">
        <f t="shared" si="78"/>
        <v>0</v>
      </c>
      <c r="L62" s="31">
        <f t="shared" si="78"/>
        <v>0.19354838709677419</v>
      </c>
      <c r="M62" s="31">
        <f t="shared" si="78"/>
        <v>0</v>
      </c>
      <c r="N62" s="31">
        <f t="shared" si="78"/>
        <v>0.19354838709677419</v>
      </c>
      <c r="O62" s="31"/>
      <c r="P62" s="31">
        <f t="shared" si="78"/>
        <v>0.58064516129032251</v>
      </c>
      <c r="Q62" s="32"/>
      <c r="R62" s="21"/>
      <c r="S62" s="21"/>
      <c r="T62" s="21"/>
      <c r="U62" s="21"/>
      <c r="V62" s="21"/>
      <c r="W62" s="21"/>
      <c r="X62" s="21"/>
      <c r="Y62" s="21"/>
    </row>
    <row r="63" spans="1:25" ht="13.2" hidden="1" x14ac:dyDescent="0.25">
      <c r="A63" s="18"/>
      <c r="B63" s="23"/>
      <c r="C63" s="23"/>
      <c r="D63" s="23"/>
      <c r="E63" s="31">
        <f t="shared" ref="E63:P63" si="79">$Y34*E34</f>
        <v>0</v>
      </c>
      <c r="F63" s="31">
        <f t="shared" si="79"/>
        <v>0</v>
      </c>
      <c r="G63" s="31">
        <f t="shared" si="79"/>
        <v>0.29032258064516125</v>
      </c>
      <c r="H63" s="31">
        <f t="shared" si="79"/>
        <v>0.87096774193548387</v>
      </c>
      <c r="I63" s="31">
        <f t="shared" si="79"/>
        <v>0</v>
      </c>
      <c r="J63" s="31">
        <f t="shared" si="79"/>
        <v>0</v>
      </c>
      <c r="K63" s="31">
        <f t="shared" si="79"/>
        <v>0</v>
      </c>
      <c r="L63" s="31">
        <f t="shared" si="79"/>
        <v>0</v>
      </c>
      <c r="M63" s="31">
        <f t="shared" si="79"/>
        <v>0</v>
      </c>
      <c r="N63" s="31">
        <f t="shared" si="79"/>
        <v>0</v>
      </c>
      <c r="O63" s="31"/>
      <c r="P63" s="31">
        <f t="shared" si="79"/>
        <v>0</v>
      </c>
      <c r="Q63" s="32"/>
      <c r="R63" s="21"/>
      <c r="S63" s="21"/>
      <c r="T63" s="21"/>
      <c r="U63" s="21"/>
      <c r="V63" s="21"/>
      <c r="W63" s="21"/>
      <c r="X63" s="21"/>
      <c r="Y63" s="21"/>
    </row>
    <row r="64" spans="1:25" ht="13.2" hidden="1" x14ac:dyDescent="0.25">
      <c r="A64" s="18"/>
      <c r="B64" s="23"/>
      <c r="C64" s="23"/>
      <c r="D64" s="23"/>
      <c r="E64" s="31">
        <f t="shared" ref="E64:P64" si="80">$Y35*E35</f>
        <v>0</v>
      </c>
      <c r="F64" s="31">
        <f t="shared" si="80"/>
        <v>0</v>
      </c>
      <c r="G64" s="31">
        <f t="shared" si="80"/>
        <v>0.52258064516129032</v>
      </c>
      <c r="H64" s="31">
        <f t="shared" si="80"/>
        <v>0.52258064516129032</v>
      </c>
      <c r="I64" s="31">
        <f t="shared" si="80"/>
        <v>0.52258064516129032</v>
      </c>
      <c r="J64" s="31">
        <f t="shared" si="80"/>
        <v>0</v>
      </c>
      <c r="K64" s="31">
        <f t="shared" si="80"/>
        <v>0</v>
      </c>
      <c r="L64" s="31">
        <f t="shared" si="80"/>
        <v>0</v>
      </c>
      <c r="M64" s="31">
        <f t="shared" si="80"/>
        <v>0</v>
      </c>
      <c r="N64" s="31">
        <f t="shared" si="80"/>
        <v>0</v>
      </c>
      <c r="O64" s="31"/>
      <c r="P64" s="31">
        <f t="shared" si="80"/>
        <v>0</v>
      </c>
      <c r="Q64" s="32"/>
      <c r="R64" s="21"/>
      <c r="S64" s="21"/>
      <c r="T64" s="21"/>
      <c r="U64" s="21"/>
      <c r="V64" s="21"/>
      <c r="W64" s="21"/>
      <c r="X64" s="21"/>
      <c r="Y64" s="21"/>
    </row>
    <row r="65" spans="1:93" ht="13.2" hidden="1" x14ac:dyDescent="0.25">
      <c r="A65" s="18"/>
      <c r="B65" s="23"/>
      <c r="C65" s="23"/>
      <c r="D65" s="23"/>
      <c r="E65" s="31">
        <f t="shared" ref="E65:P65" si="81">$Y36*E36</f>
        <v>0</v>
      </c>
      <c r="F65" s="31">
        <f t="shared" si="81"/>
        <v>4.8387096774193547E-2</v>
      </c>
      <c r="G65" s="31">
        <f t="shared" si="81"/>
        <v>0</v>
      </c>
      <c r="H65" s="31">
        <f t="shared" si="81"/>
        <v>0.43548387096774194</v>
      </c>
      <c r="I65" s="31">
        <f t="shared" si="81"/>
        <v>0.43548387096774194</v>
      </c>
      <c r="J65" s="31">
        <f t="shared" si="81"/>
        <v>0</v>
      </c>
      <c r="K65" s="31">
        <f t="shared" si="81"/>
        <v>0</v>
      </c>
      <c r="L65" s="31">
        <f t="shared" si="81"/>
        <v>0</v>
      </c>
      <c r="M65" s="31">
        <f t="shared" si="81"/>
        <v>0</v>
      </c>
      <c r="N65" s="31">
        <f t="shared" si="81"/>
        <v>0</v>
      </c>
      <c r="O65" s="31"/>
      <c r="P65" s="31">
        <f t="shared" si="81"/>
        <v>0</v>
      </c>
      <c r="Q65" s="32"/>
      <c r="R65" s="21"/>
      <c r="S65" s="21"/>
      <c r="T65" s="21"/>
      <c r="U65" s="21"/>
      <c r="V65" s="21"/>
      <c r="W65" s="21"/>
      <c r="X65" s="21"/>
      <c r="Y65" s="21"/>
    </row>
    <row r="66" spans="1:93" ht="13.2" hidden="1" x14ac:dyDescent="0.25">
      <c r="A66" s="18"/>
      <c r="B66" s="23"/>
      <c r="C66" s="23"/>
      <c r="D66" s="23"/>
      <c r="E66" s="31" t="e">
        <f t="shared" ref="E66:P66" si="82">$Y37*E37</f>
        <v>#REF!</v>
      </c>
      <c r="F66" s="31" t="e">
        <f t="shared" si="82"/>
        <v>#REF!</v>
      </c>
      <c r="G66" s="31" t="e">
        <f t="shared" si="82"/>
        <v>#REF!</v>
      </c>
      <c r="H66" s="31" t="e">
        <f t="shared" si="82"/>
        <v>#REF!</v>
      </c>
      <c r="I66" s="31" t="e">
        <f t="shared" si="82"/>
        <v>#REF!</v>
      </c>
      <c r="J66" s="31" t="e">
        <f t="shared" si="82"/>
        <v>#REF!</v>
      </c>
      <c r="K66" s="31" t="e">
        <f t="shared" si="82"/>
        <v>#REF!</v>
      </c>
      <c r="L66" s="31" t="e">
        <f t="shared" si="82"/>
        <v>#REF!</v>
      </c>
      <c r="M66" s="31" t="e">
        <f t="shared" si="82"/>
        <v>#REF!</v>
      </c>
      <c r="N66" s="31" t="e">
        <f t="shared" si="82"/>
        <v>#REF!</v>
      </c>
      <c r="O66" s="31"/>
      <c r="P66" s="31" t="e">
        <f t="shared" si="82"/>
        <v>#REF!</v>
      </c>
      <c r="Q66" s="32"/>
      <c r="R66" s="21"/>
      <c r="S66" s="21"/>
      <c r="T66" s="21"/>
      <c r="U66" s="21"/>
      <c r="V66" s="21"/>
      <c r="W66" s="21"/>
      <c r="X66" s="21"/>
      <c r="Y66" s="21"/>
    </row>
    <row r="67" spans="1:93" ht="11.55" hidden="1" customHeight="1" x14ac:dyDescent="0.25">
      <c r="A67" s="18"/>
      <c r="B67" s="23"/>
      <c r="C67" s="23"/>
      <c r="D67" s="23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2"/>
      <c r="R67" s="21"/>
      <c r="S67" s="21"/>
      <c r="T67" s="21"/>
      <c r="U67" s="21"/>
      <c r="V67" s="21"/>
      <c r="W67" s="21"/>
      <c r="X67" s="21"/>
      <c r="Y67" s="21"/>
    </row>
    <row r="68" spans="1:93" ht="13.8" hidden="1" customHeight="1" x14ac:dyDescent="0.25">
      <c r="A68" s="18"/>
      <c r="B68" s="35" t="s">
        <v>61</v>
      </c>
      <c r="C68" s="23"/>
      <c r="D68" s="23"/>
      <c r="E68" s="12">
        <f t="shared" ref="E68:P68" si="83">SUM(E40:E52)</f>
        <v>2.1860465116279073</v>
      </c>
      <c r="F68" s="12">
        <f t="shared" si="83"/>
        <v>2.3023255813953489</v>
      </c>
      <c r="G68" s="12">
        <f t="shared" si="83"/>
        <v>4.1395348837209305</v>
      </c>
      <c r="H68" s="12">
        <f t="shared" si="83"/>
        <v>4.0232558139534884</v>
      </c>
      <c r="I68" s="12">
        <f t="shared" si="83"/>
        <v>3.837209302325582</v>
      </c>
      <c r="J68" s="12">
        <f t="shared" si="83"/>
        <v>2.2558139534883721</v>
      </c>
      <c r="K68" s="12">
        <f t="shared" si="83"/>
        <v>0.18604651162790697</v>
      </c>
      <c r="L68" s="12">
        <f t="shared" si="83"/>
        <v>0.30232558139534882</v>
      </c>
      <c r="M68" s="12">
        <f t="shared" si="83"/>
        <v>0.83720930232558133</v>
      </c>
      <c r="N68" s="12">
        <f t="shared" si="83"/>
        <v>0.30232558139534882</v>
      </c>
      <c r="O68" s="12"/>
      <c r="P68" s="12">
        <f t="shared" si="83"/>
        <v>1.6744186046511627</v>
      </c>
      <c r="Q68" s="36"/>
    </row>
    <row r="69" spans="1:93" ht="13.2" hidden="1" x14ac:dyDescent="0.25">
      <c r="A69" s="18"/>
      <c r="B69" s="35" t="s">
        <v>62</v>
      </c>
      <c r="C69" s="23"/>
      <c r="D69" s="23"/>
      <c r="E69" s="14">
        <f t="shared" ref="E69:P69" si="84">E68/SUM($E$68:$P$68)</f>
        <v>9.9156118143459926E-2</v>
      </c>
      <c r="F69" s="14">
        <f t="shared" si="84"/>
        <v>0.10443037974683544</v>
      </c>
      <c r="G69" s="14">
        <f t="shared" si="84"/>
        <v>0.18776371308016879</v>
      </c>
      <c r="H69" s="14">
        <f t="shared" si="84"/>
        <v>0.18248945147679324</v>
      </c>
      <c r="I69" s="14">
        <f t="shared" si="84"/>
        <v>0.17405063291139244</v>
      </c>
      <c r="J69" s="14">
        <f t="shared" si="84"/>
        <v>0.10232067510548523</v>
      </c>
      <c r="K69" s="14">
        <f t="shared" si="84"/>
        <v>8.4388185654008432E-3</v>
      </c>
      <c r="L69" s="14">
        <f t="shared" si="84"/>
        <v>1.371308016877637E-2</v>
      </c>
      <c r="M69" s="14">
        <f t="shared" si="84"/>
        <v>3.7974683544303792E-2</v>
      </c>
      <c r="N69" s="14">
        <f t="shared" si="84"/>
        <v>1.371308016877637E-2</v>
      </c>
      <c r="O69" s="14"/>
      <c r="P69" s="14">
        <f t="shared" si="84"/>
        <v>7.5949367088607583E-2</v>
      </c>
      <c r="Q69" s="37"/>
    </row>
    <row r="70" spans="1:93" ht="14.4" x14ac:dyDescent="0.3">
      <c r="A70" s="18"/>
      <c r="B70" s="35" t="s">
        <v>32</v>
      </c>
      <c r="C70" s="23"/>
      <c r="D70" s="23"/>
      <c r="E70" s="82">
        <f>9*Y12+3*Y16+9*Y17+3*Y21</f>
        <v>2.7338709677419359</v>
      </c>
      <c r="F70" s="83">
        <f>9*Y13+9*Y14+9*Y15+3*Y17+3*Y23+1*Y21</f>
        <v>3.1306451612903223</v>
      </c>
      <c r="G70" s="83">
        <f>3*Y14+9*(Y19+Y18)</f>
        <v>0.89032258064516112</v>
      </c>
      <c r="H70" s="83">
        <f>9*(Y13+Y22)+3*Y17</f>
        <v>1.9016129032258062</v>
      </c>
      <c r="I70" s="83">
        <f>9*(Y17+Y21)</f>
        <v>1.7419354838709677</v>
      </c>
      <c r="J70" s="83">
        <f>9*(Y13+Y17)+3*Y14</f>
        <v>2.2693548387096776</v>
      </c>
      <c r="K70" s="83">
        <f>9*(Y14+Y17)</f>
        <v>1.7999999999999998</v>
      </c>
      <c r="L70" s="83">
        <f>9*(Y14+Y23)</f>
        <v>1.3645161290322581</v>
      </c>
      <c r="M70" s="83">
        <f>9*(Y14+Y17)+Y21</f>
        <v>1.8967741935483868</v>
      </c>
      <c r="N70" s="83">
        <f>9*(Y12+Y13+Y16)+3*Y17</f>
        <v>3.919354838709677</v>
      </c>
      <c r="O70" s="83">
        <f>9*Y18+3*Y19</f>
        <v>0.4838709677419355</v>
      </c>
      <c r="P70" s="83">
        <f>9*Y20</f>
        <v>0.58064516129032251</v>
      </c>
      <c r="Q70" s="36"/>
      <c r="R70" s="39"/>
    </row>
    <row r="71" spans="1:93" ht="13.2" x14ac:dyDescent="0.25">
      <c r="A71" s="18"/>
      <c r="B71" s="35" t="s">
        <v>33</v>
      </c>
      <c r="C71" s="23"/>
      <c r="D71" s="23"/>
      <c r="E71" s="14">
        <f t="shared" ref="E71:P71" si="85">E70/SUM($E$70:$P$70)</f>
        <v>0.12036642522368983</v>
      </c>
      <c r="F71" s="14">
        <f t="shared" si="85"/>
        <v>0.13783553472518106</v>
      </c>
      <c r="G71" s="14">
        <f t="shared" si="85"/>
        <v>3.9198977417980389E-2</v>
      </c>
      <c r="H71" s="14">
        <f t="shared" si="85"/>
        <v>8.3723902854708127E-2</v>
      </c>
      <c r="I71" s="14">
        <f t="shared" si="85"/>
        <v>7.6693651469961641E-2</v>
      </c>
      <c r="J71" s="14">
        <f t="shared" si="85"/>
        <v>9.9914784831700049E-2</v>
      </c>
      <c r="K71" s="14">
        <f t="shared" si="85"/>
        <v>7.9250106518960362E-2</v>
      </c>
      <c r="L71" s="14">
        <f t="shared" si="85"/>
        <v>6.0076693651469955E-2</v>
      </c>
      <c r="M71" s="14">
        <f t="shared" si="85"/>
        <v>8.351086493395822E-2</v>
      </c>
      <c r="N71" s="14">
        <f t="shared" si="85"/>
        <v>0.17256071580741369</v>
      </c>
      <c r="O71" s="14">
        <f t="shared" si="85"/>
        <v>2.1303792074989347E-2</v>
      </c>
      <c r="P71" s="14">
        <f t="shared" si="85"/>
        <v>2.5564550489987212E-2</v>
      </c>
      <c r="Q71" s="37"/>
    </row>
    <row r="72" spans="1:93" ht="28.8" x14ac:dyDescent="0.3">
      <c r="A72" s="18"/>
      <c r="B72" s="35" t="s">
        <v>63</v>
      </c>
      <c r="C72" s="23"/>
      <c r="D72" s="23"/>
      <c r="E72" s="84" t="s">
        <v>64</v>
      </c>
      <c r="F72" s="75" t="s">
        <v>65</v>
      </c>
      <c r="G72" s="87" t="s">
        <v>66</v>
      </c>
      <c r="H72" s="87" t="s">
        <v>75</v>
      </c>
      <c r="I72" s="75" t="s">
        <v>67</v>
      </c>
      <c r="J72" s="85" t="s">
        <v>68</v>
      </c>
      <c r="K72" s="86" t="s">
        <v>69</v>
      </c>
      <c r="L72" s="73" t="s">
        <v>70</v>
      </c>
      <c r="M72" s="75" t="s">
        <v>71</v>
      </c>
      <c r="N72" s="75" t="s">
        <v>72</v>
      </c>
      <c r="O72" s="75" t="s">
        <v>73</v>
      </c>
      <c r="P72" s="75" t="s">
        <v>73</v>
      </c>
      <c r="Q72" s="5"/>
    </row>
    <row r="73" spans="1:93" ht="13.2" x14ac:dyDescent="0.25">
      <c r="A73" s="18"/>
      <c r="B73" s="35" t="s">
        <v>26</v>
      </c>
      <c r="C73" s="23"/>
      <c r="D73" s="23"/>
      <c r="E73" s="11">
        <v>20000</v>
      </c>
      <c r="F73" s="11">
        <v>45</v>
      </c>
      <c r="G73" s="11">
        <v>120</v>
      </c>
      <c r="H73" s="11">
        <v>25</v>
      </c>
      <c r="I73" s="88">
        <v>0.97</v>
      </c>
      <c r="J73" s="88">
        <v>0.2</v>
      </c>
      <c r="K73" s="11">
        <v>16000</v>
      </c>
      <c r="L73" s="11">
        <v>2</v>
      </c>
      <c r="M73" s="11">
        <v>3</v>
      </c>
      <c r="N73" s="38" t="s">
        <v>77</v>
      </c>
      <c r="O73" s="38">
        <v>4</v>
      </c>
      <c r="P73" s="11">
        <v>0</v>
      </c>
      <c r="Q73" s="21"/>
    </row>
    <row r="74" spans="1:93" ht="13.2" x14ac:dyDescent="0.25">
      <c r="A74" s="18"/>
      <c r="B74" s="35" t="s">
        <v>27</v>
      </c>
      <c r="C74" s="23"/>
      <c r="D74" s="23"/>
      <c r="E74" s="11">
        <v>15000</v>
      </c>
      <c r="F74" s="11">
        <v>51.8</v>
      </c>
      <c r="G74" s="11">
        <v>110</v>
      </c>
      <c r="H74" s="11">
        <v>27</v>
      </c>
      <c r="I74" s="88">
        <v>0.9</v>
      </c>
      <c r="J74" s="88">
        <v>0.25</v>
      </c>
      <c r="K74" s="11">
        <v>14000</v>
      </c>
      <c r="L74" s="11">
        <v>3</v>
      </c>
      <c r="M74" s="11">
        <v>2</v>
      </c>
      <c r="N74" s="38" t="s">
        <v>76</v>
      </c>
      <c r="O74" s="38">
        <v>6</v>
      </c>
      <c r="P74" s="11">
        <v>0</v>
      </c>
      <c r="Q74" s="21"/>
    </row>
    <row r="75" spans="1:93" ht="13.2" x14ac:dyDescent="0.25">
      <c r="A75" s="18"/>
      <c r="B75" s="35" t="s">
        <v>28</v>
      </c>
      <c r="C75" s="23"/>
      <c r="D75" s="23"/>
      <c r="E75" s="11">
        <v>25000</v>
      </c>
      <c r="F75" s="11">
        <v>45</v>
      </c>
      <c r="G75" s="11">
        <v>120</v>
      </c>
      <c r="H75" s="11">
        <v>27</v>
      </c>
      <c r="I75" s="88">
        <v>0.95</v>
      </c>
      <c r="J75" s="88">
        <v>0.35</v>
      </c>
      <c r="K75" s="11">
        <v>17000</v>
      </c>
      <c r="L75" s="11">
        <v>1</v>
      </c>
      <c r="M75" s="11">
        <v>3</v>
      </c>
      <c r="N75" s="38" t="s">
        <v>77</v>
      </c>
      <c r="O75" s="38">
        <v>3</v>
      </c>
      <c r="P75" s="11">
        <v>0</v>
      </c>
      <c r="Q75" s="21"/>
    </row>
    <row r="76" spans="1:93" ht="13.2" x14ac:dyDescent="0.25">
      <c r="A76" s="18"/>
      <c r="B76" s="35" t="s">
        <v>74</v>
      </c>
      <c r="C76" s="23"/>
      <c r="D76" s="23"/>
      <c r="E76" s="8">
        <v>25000</v>
      </c>
      <c r="F76" s="8">
        <v>45</v>
      </c>
      <c r="G76" s="8">
        <v>120</v>
      </c>
      <c r="H76" s="8">
        <v>25</v>
      </c>
      <c r="I76" s="89">
        <v>0.97</v>
      </c>
      <c r="J76" s="89">
        <v>0.35</v>
      </c>
      <c r="K76" s="8">
        <v>20000</v>
      </c>
      <c r="L76" s="8">
        <v>1</v>
      </c>
      <c r="M76" s="8">
        <v>4</v>
      </c>
      <c r="N76" s="8" t="s">
        <v>78</v>
      </c>
      <c r="O76" s="8">
        <v>4</v>
      </c>
      <c r="P76" s="8">
        <v>1</v>
      </c>
      <c r="Q76" s="21"/>
    </row>
    <row r="79" spans="1:93" ht="13.8" thickBot="1" x14ac:dyDescent="0.3"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93" ht="65.400000000000006" thickBot="1" x14ac:dyDescent="0.35">
      <c r="B80" s="107" t="s">
        <v>79</v>
      </c>
      <c r="C80" s="99"/>
      <c r="D80" s="99"/>
      <c r="E80" s="99"/>
      <c r="F80" s="99"/>
      <c r="G80" s="99"/>
      <c r="H80" s="99"/>
      <c r="I80" s="99"/>
      <c r="J80" s="99"/>
      <c r="K80" s="99"/>
      <c r="L80" s="125"/>
      <c r="M80" s="125"/>
      <c r="N80" s="100"/>
      <c r="O80" s="39"/>
      <c r="P80" s="39"/>
      <c r="T80" s="97" t="s">
        <v>80</v>
      </c>
      <c r="U80" s="126" t="s">
        <v>81</v>
      </c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8"/>
      <c r="CC80" s="7" t="s">
        <v>87</v>
      </c>
      <c r="CD80" s="117" t="s">
        <v>14</v>
      </c>
      <c r="CE80" s="62" t="s">
        <v>15</v>
      </c>
      <c r="CF80" s="62" t="s">
        <v>16</v>
      </c>
      <c r="CG80" s="62" t="s">
        <v>17</v>
      </c>
      <c r="CH80" s="80" t="s">
        <v>18</v>
      </c>
      <c r="CI80" s="62" t="s">
        <v>19</v>
      </c>
      <c r="CJ80" s="62" t="s">
        <v>20</v>
      </c>
      <c r="CK80" s="63" t="s">
        <v>21</v>
      </c>
      <c r="CL80" s="81" t="s">
        <v>22</v>
      </c>
      <c r="CM80" s="63" t="s">
        <v>23</v>
      </c>
      <c r="CN80" s="63" t="s">
        <v>24</v>
      </c>
      <c r="CO80" s="63" t="s">
        <v>25</v>
      </c>
    </row>
    <row r="81" spans="2:105" ht="14.4" x14ac:dyDescent="0.3">
      <c r="B81" s="101"/>
      <c r="C81" s="102">
        <f>9</f>
        <v>9</v>
      </c>
      <c r="D81" s="102">
        <f>0</f>
        <v>0</v>
      </c>
      <c r="E81" s="102">
        <f>3</f>
        <v>3</v>
      </c>
      <c r="F81" s="108">
        <f>0</f>
        <v>0</v>
      </c>
      <c r="G81" s="102">
        <f>0</f>
        <v>0</v>
      </c>
      <c r="H81" s="102">
        <f>0</f>
        <v>0</v>
      </c>
      <c r="I81" s="102">
        <f>0</f>
        <v>0</v>
      </c>
      <c r="J81" s="102">
        <f>0</f>
        <v>0</v>
      </c>
      <c r="K81" s="102">
        <f>0</f>
        <v>0</v>
      </c>
      <c r="L81" s="102">
        <f>9</f>
        <v>9</v>
      </c>
      <c r="M81" s="102">
        <f>0</f>
        <v>0</v>
      </c>
      <c r="N81" s="103">
        <f>0</f>
        <v>0</v>
      </c>
      <c r="O81" s="39"/>
      <c r="P81" s="39"/>
      <c r="T81" s="93">
        <f>SUM(C81:N81)</f>
        <v>21</v>
      </c>
      <c r="U81" s="98">
        <f>C81*$X$12</f>
        <v>67.5</v>
      </c>
      <c r="V81" s="99">
        <f t="shared" ref="V81:AF81" si="86">D81*$X$12</f>
        <v>0</v>
      </c>
      <c r="W81" s="99">
        <f t="shared" si="86"/>
        <v>22.5</v>
      </c>
      <c r="X81" s="99">
        <f t="shared" si="86"/>
        <v>0</v>
      </c>
      <c r="Y81" s="99">
        <f t="shared" si="86"/>
        <v>0</v>
      </c>
      <c r="Z81" s="99">
        <f t="shared" si="86"/>
        <v>0</v>
      </c>
      <c r="AA81" s="99">
        <f t="shared" si="86"/>
        <v>0</v>
      </c>
      <c r="AB81" s="99">
        <f t="shared" si="86"/>
        <v>0</v>
      </c>
      <c r="AC81" s="99">
        <f t="shared" si="86"/>
        <v>0</v>
      </c>
      <c r="AD81" s="99">
        <f t="shared" si="86"/>
        <v>67.5</v>
      </c>
      <c r="AE81" s="99">
        <f t="shared" si="86"/>
        <v>0</v>
      </c>
      <c r="AF81" s="100">
        <f t="shared" si="86"/>
        <v>0</v>
      </c>
      <c r="CD81" s="119" t="s">
        <v>34</v>
      </c>
      <c r="CE81" s="119" t="s">
        <v>35</v>
      </c>
      <c r="CF81" s="119" t="s">
        <v>36</v>
      </c>
      <c r="CG81" s="119" t="s">
        <v>37</v>
      </c>
      <c r="CH81" s="119" t="s">
        <v>38</v>
      </c>
      <c r="CI81" s="119" t="s">
        <v>39</v>
      </c>
      <c r="CJ81" s="119" t="s">
        <v>40</v>
      </c>
      <c r="CK81" s="119" t="s">
        <v>41</v>
      </c>
      <c r="CL81" s="119" t="s">
        <v>42</v>
      </c>
      <c r="CM81" s="119" t="s">
        <v>45</v>
      </c>
      <c r="CN81" s="119" t="s">
        <v>121</v>
      </c>
      <c r="CO81" s="119" t="s">
        <v>122</v>
      </c>
    </row>
    <row r="82" spans="2:105" ht="14.4" x14ac:dyDescent="0.3">
      <c r="B82" s="101"/>
      <c r="C82" s="102">
        <f>0</f>
        <v>0</v>
      </c>
      <c r="D82" s="102">
        <f>9</f>
        <v>9</v>
      </c>
      <c r="E82" s="102">
        <f>0</f>
        <v>0</v>
      </c>
      <c r="F82" s="102">
        <f>9</f>
        <v>9</v>
      </c>
      <c r="G82" s="102">
        <f>0</f>
        <v>0</v>
      </c>
      <c r="H82" s="102">
        <f>9</f>
        <v>9</v>
      </c>
      <c r="I82" s="102">
        <f>0</f>
        <v>0</v>
      </c>
      <c r="J82" s="102">
        <f>0</f>
        <v>0</v>
      </c>
      <c r="K82" s="102">
        <f>0</f>
        <v>0</v>
      </c>
      <c r="L82" s="102">
        <f>9</f>
        <v>9</v>
      </c>
      <c r="M82" s="102">
        <f>0</f>
        <v>0</v>
      </c>
      <c r="N82" s="103">
        <f>0</f>
        <v>0</v>
      </c>
      <c r="O82" s="39"/>
      <c r="P82" s="39"/>
      <c r="T82" s="93">
        <f t="shared" ref="T82:T92" si="87">SUM(C82:N82)</f>
        <v>36</v>
      </c>
      <c r="U82" s="101">
        <f>C82*$X$13</f>
        <v>0</v>
      </c>
      <c r="V82" s="102">
        <f t="shared" ref="V82:AF82" si="88">D82*$X$13</f>
        <v>67.5</v>
      </c>
      <c r="W82" s="102">
        <f t="shared" si="88"/>
        <v>0</v>
      </c>
      <c r="X82" s="102">
        <f>F82*$X$13</f>
        <v>67.5</v>
      </c>
      <c r="Y82" s="102">
        <f t="shared" si="88"/>
        <v>0</v>
      </c>
      <c r="Z82" s="102">
        <f t="shared" si="88"/>
        <v>67.5</v>
      </c>
      <c r="AA82" s="102">
        <f t="shared" si="88"/>
        <v>0</v>
      </c>
      <c r="AB82" s="102">
        <f t="shared" si="88"/>
        <v>0</v>
      </c>
      <c r="AC82" s="102">
        <f t="shared" si="88"/>
        <v>0</v>
      </c>
      <c r="AD82" s="102">
        <f t="shared" si="88"/>
        <v>67.5</v>
      </c>
      <c r="AE82" s="102">
        <f t="shared" si="88"/>
        <v>0</v>
      </c>
      <c r="AF82" s="103">
        <f t="shared" si="88"/>
        <v>0</v>
      </c>
      <c r="CC82" s="7" t="s">
        <v>89</v>
      </c>
      <c r="CD82" s="44">
        <f>SUM(11.6*9+11.6*3+9.3*9+9.3*3)</f>
        <v>250.79999999999998</v>
      </c>
      <c r="CE82" s="44">
        <f>SUM(11.6*9+9.3*9+9.3*9+9.3*3+9.3*1+7*3)</f>
        <v>330</v>
      </c>
      <c r="CF82" s="44">
        <f>SUM(11.6*3+11.6*9+9.3*9)</f>
        <v>222.89999999999998</v>
      </c>
      <c r="CG82" s="44">
        <f>SUM(11.6*9+9.3*3+7*9)</f>
        <v>195.29999999999998</v>
      </c>
      <c r="CH82" s="44">
        <f>SUM(9.3*9+9.3*9)</f>
        <v>167.4</v>
      </c>
      <c r="CI82" s="44">
        <f>SUM(11.6*9+9.3*3+9.3*9)</f>
        <v>216</v>
      </c>
      <c r="CJ82" s="44">
        <f>SUM(9.3*9+9.3*9)</f>
        <v>167.4</v>
      </c>
      <c r="CK82" s="44">
        <f>SUM(9.3*9+7*9)</f>
        <v>146.69999999999999</v>
      </c>
      <c r="CL82" s="44">
        <f>SUM(9.3*9+9.3*9+9.3*1)</f>
        <v>176.70000000000002</v>
      </c>
      <c r="CM82" s="44">
        <f>SUM(11.6*9+11.6*9+11.6*9+9.3*3)</f>
        <v>341.09999999999997</v>
      </c>
      <c r="CN82" s="44">
        <f>SUM(7*9+2.3*3)</f>
        <v>69.900000000000006</v>
      </c>
      <c r="CO82" s="44">
        <f>SUM(4.7*9)</f>
        <v>42.300000000000004</v>
      </c>
      <c r="CY82" s="123" t="s">
        <v>150</v>
      </c>
      <c r="CZ82" s="123" t="s">
        <v>151</v>
      </c>
      <c r="DA82" s="123" t="s">
        <v>152</v>
      </c>
    </row>
    <row r="83" spans="2:105" ht="27" x14ac:dyDescent="0.3">
      <c r="B83" s="109"/>
      <c r="C83" s="110">
        <f>0</f>
        <v>0</v>
      </c>
      <c r="D83" s="110">
        <f>9</f>
        <v>9</v>
      </c>
      <c r="E83" s="110">
        <v>0</v>
      </c>
      <c r="F83" s="110">
        <f>0</f>
        <v>0</v>
      </c>
      <c r="G83" s="110">
        <f>0</f>
        <v>0</v>
      </c>
      <c r="H83" s="110">
        <f>3</f>
        <v>3</v>
      </c>
      <c r="I83" s="102">
        <f>9</f>
        <v>9</v>
      </c>
      <c r="J83" s="102">
        <f>9</f>
        <v>9</v>
      </c>
      <c r="K83" s="102">
        <f>9</f>
        <v>9</v>
      </c>
      <c r="L83" s="102">
        <f>0</f>
        <v>0</v>
      </c>
      <c r="M83" s="102">
        <f>0</f>
        <v>0</v>
      </c>
      <c r="N83" s="103">
        <f>0</f>
        <v>0</v>
      </c>
      <c r="O83" s="39"/>
      <c r="P83" s="39"/>
      <c r="T83" s="93">
        <f t="shared" si="87"/>
        <v>39</v>
      </c>
      <c r="U83" s="101">
        <f>C83*$X$14</f>
        <v>0</v>
      </c>
      <c r="V83" s="102">
        <f t="shared" ref="V83:AF83" si="89">D83*$X$14</f>
        <v>57.599999999999994</v>
      </c>
      <c r="W83" s="102">
        <f t="shared" si="89"/>
        <v>0</v>
      </c>
      <c r="X83" s="102">
        <f t="shared" si="89"/>
        <v>0</v>
      </c>
      <c r="Y83" s="102">
        <f t="shared" si="89"/>
        <v>0</v>
      </c>
      <c r="Z83" s="102">
        <f t="shared" si="89"/>
        <v>19.2</v>
      </c>
      <c r="AA83" s="102">
        <f t="shared" si="89"/>
        <v>57.599999999999994</v>
      </c>
      <c r="AB83" s="102">
        <f t="shared" si="89"/>
        <v>57.599999999999994</v>
      </c>
      <c r="AC83" s="102">
        <f t="shared" si="89"/>
        <v>57.599999999999994</v>
      </c>
      <c r="AD83" s="102">
        <f t="shared" si="89"/>
        <v>0</v>
      </c>
      <c r="AE83" s="102">
        <f t="shared" si="89"/>
        <v>0</v>
      </c>
      <c r="AF83" s="103">
        <f t="shared" si="89"/>
        <v>0</v>
      </c>
      <c r="CC83" s="7" t="s">
        <v>88</v>
      </c>
      <c r="CD83" s="44">
        <f>SUM(CD82:CO82)</f>
        <v>2326.5000000000005</v>
      </c>
      <c r="CE83" s="44">
        <v>2326.5000000000005</v>
      </c>
      <c r="CF83" s="44">
        <v>2326.5000000000005</v>
      </c>
      <c r="CG83" s="44">
        <v>2326.5000000000005</v>
      </c>
      <c r="CH83" s="44">
        <v>2326.5000000000005</v>
      </c>
      <c r="CI83" s="44">
        <v>2326.5000000000005</v>
      </c>
      <c r="CJ83" s="44">
        <v>2326.5000000000005</v>
      </c>
      <c r="CK83" s="44">
        <v>2326.5000000000005</v>
      </c>
      <c r="CL83" s="44">
        <v>2326.5000000000005</v>
      </c>
      <c r="CM83" s="44">
        <v>2326.5000000000005</v>
      </c>
      <c r="CN83" s="44">
        <v>2326.5000000000005</v>
      </c>
      <c r="CO83" s="44">
        <v>2326.5000000000005</v>
      </c>
      <c r="CY83" s="2" t="s">
        <v>153</v>
      </c>
      <c r="CZ83" s="2" t="s">
        <v>154</v>
      </c>
      <c r="DA83" s="131" t="s">
        <v>170</v>
      </c>
    </row>
    <row r="84" spans="2:105" ht="27" x14ac:dyDescent="0.3">
      <c r="B84" s="101"/>
      <c r="C84" s="102">
        <f>0</f>
        <v>0</v>
      </c>
      <c r="D84" s="102">
        <f>9</f>
        <v>9</v>
      </c>
      <c r="E84" s="102">
        <f>0</f>
        <v>0</v>
      </c>
      <c r="F84" s="102">
        <f>0</f>
        <v>0</v>
      </c>
      <c r="G84" s="102">
        <f>0</f>
        <v>0</v>
      </c>
      <c r="H84" s="102">
        <f>0</f>
        <v>0</v>
      </c>
      <c r="I84" s="102">
        <f>0</f>
        <v>0</v>
      </c>
      <c r="J84" s="102">
        <f>0</f>
        <v>0</v>
      </c>
      <c r="K84" s="102">
        <f>0</f>
        <v>0</v>
      </c>
      <c r="L84" s="102">
        <f>0</f>
        <v>0</v>
      </c>
      <c r="M84" s="102">
        <f>0</f>
        <v>0</v>
      </c>
      <c r="N84" s="103">
        <f>0</f>
        <v>0</v>
      </c>
      <c r="O84" s="39"/>
      <c r="P84" s="39"/>
      <c r="T84" s="93">
        <f t="shared" si="87"/>
        <v>9</v>
      </c>
      <c r="U84" s="101">
        <f>C84*$X$15</f>
        <v>0</v>
      </c>
      <c r="V84" s="102">
        <f t="shared" ref="V84:AF84" si="90">D84*$X$15</f>
        <v>36</v>
      </c>
      <c r="W84" s="102">
        <f t="shared" si="90"/>
        <v>0</v>
      </c>
      <c r="X84" s="102">
        <f t="shared" si="90"/>
        <v>0</v>
      </c>
      <c r="Y84" s="102">
        <f t="shared" si="90"/>
        <v>0</v>
      </c>
      <c r="Z84" s="102">
        <f t="shared" si="90"/>
        <v>0</v>
      </c>
      <c r="AA84" s="102">
        <f t="shared" si="90"/>
        <v>0</v>
      </c>
      <c r="AB84" s="102">
        <f t="shared" si="90"/>
        <v>0</v>
      </c>
      <c r="AC84" s="102">
        <f t="shared" si="90"/>
        <v>0</v>
      </c>
      <c r="AD84" s="102">
        <f t="shared" si="90"/>
        <v>0</v>
      </c>
      <c r="AE84" s="102">
        <f t="shared" si="90"/>
        <v>0</v>
      </c>
      <c r="AF84" s="103">
        <f t="shared" si="90"/>
        <v>0</v>
      </c>
      <c r="CC84" s="7" t="s">
        <v>90</v>
      </c>
      <c r="CD84" s="44">
        <f>CD82/CD83</f>
        <v>0.10780141843971629</v>
      </c>
      <c r="CE84" s="44">
        <f t="shared" ref="CE84:CO84" si="91">CE82/CE83</f>
        <v>0.14184397163120566</v>
      </c>
      <c r="CF84" s="44">
        <f t="shared" si="91"/>
        <v>9.5809155383623446E-2</v>
      </c>
      <c r="CG84" s="44">
        <f t="shared" si="91"/>
        <v>8.3945841392649878E-2</v>
      </c>
      <c r="CH84" s="44">
        <f t="shared" si="91"/>
        <v>7.195357833655705E-2</v>
      </c>
      <c r="CI84" s="44">
        <f t="shared" si="91"/>
        <v>9.2843326885880054E-2</v>
      </c>
      <c r="CJ84" s="44">
        <f t="shared" si="91"/>
        <v>7.195357833655705E-2</v>
      </c>
      <c r="CK84" s="44">
        <f t="shared" si="91"/>
        <v>6.3056092843326875E-2</v>
      </c>
      <c r="CL84" s="44">
        <f t="shared" si="91"/>
        <v>7.5950999355254664E-2</v>
      </c>
      <c r="CM84" s="44">
        <f t="shared" si="91"/>
        <v>0.1466150870406189</v>
      </c>
      <c r="CN84" s="44">
        <f t="shared" si="91"/>
        <v>3.0045132172791745E-2</v>
      </c>
      <c r="CO84" s="44">
        <f t="shared" si="91"/>
        <v>1.8181818181818181E-2</v>
      </c>
      <c r="CY84" s="2" t="s">
        <v>155</v>
      </c>
      <c r="CZ84" s="2" t="s">
        <v>156</v>
      </c>
      <c r="DA84" s="131" t="s">
        <v>170</v>
      </c>
    </row>
    <row r="85" spans="2:105" ht="40.200000000000003" x14ac:dyDescent="0.3">
      <c r="B85" s="101"/>
      <c r="C85" s="102">
        <f>3</f>
        <v>3</v>
      </c>
      <c r="D85" s="102">
        <f>0</f>
        <v>0</v>
      </c>
      <c r="E85" s="102">
        <f>9</f>
        <v>9</v>
      </c>
      <c r="F85" s="102">
        <f>0</f>
        <v>0</v>
      </c>
      <c r="G85" s="102">
        <f>0</f>
        <v>0</v>
      </c>
      <c r="H85" s="102">
        <f>0</f>
        <v>0</v>
      </c>
      <c r="I85" s="108">
        <f>0</f>
        <v>0</v>
      </c>
      <c r="J85" s="108">
        <f>0</f>
        <v>0</v>
      </c>
      <c r="K85" s="108">
        <f>0</f>
        <v>0</v>
      </c>
      <c r="L85" s="108">
        <f>9</f>
        <v>9</v>
      </c>
      <c r="M85" s="102">
        <f>0</f>
        <v>0</v>
      </c>
      <c r="N85" s="103">
        <f>0</f>
        <v>0</v>
      </c>
      <c r="O85" s="39"/>
      <c r="P85" s="39"/>
      <c r="T85" s="93">
        <f t="shared" si="87"/>
        <v>21</v>
      </c>
      <c r="U85" s="101">
        <f>C85*$X$16</f>
        <v>30</v>
      </c>
      <c r="V85" s="102">
        <f t="shared" ref="V85:AF85" si="92">D85*$X$16</f>
        <v>0</v>
      </c>
      <c r="W85" s="102">
        <f t="shared" si="92"/>
        <v>90</v>
      </c>
      <c r="X85" s="102">
        <f t="shared" si="92"/>
        <v>0</v>
      </c>
      <c r="Y85" s="102">
        <f t="shared" si="92"/>
        <v>0</v>
      </c>
      <c r="Z85" s="102">
        <f t="shared" si="92"/>
        <v>0</v>
      </c>
      <c r="AA85" s="102">
        <f t="shared" si="92"/>
        <v>0</v>
      </c>
      <c r="AB85" s="102">
        <f t="shared" si="92"/>
        <v>0</v>
      </c>
      <c r="AC85" s="102">
        <f t="shared" si="92"/>
        <v>0</v>
      </c>
      <c r="AD85" s="102">
        <f t="shared" si="92"/>
        <v>90</v>
      </c>
      <c r="AE85" s="102">
        <f t="shared" si="92"/>
        <v>0</v>
      </c>
      <c r="AF85" s="103">
        <f t="shared" si="92"/>
        <v>0</v>
      </c>
      <c r="CC85" s="7" t="s">
        <v>91</v>
      </c>
      <c r="CD85" s="120">
        <v>0.10780141843971629</v>
      </c>
      <c r="CE85" s="120">
        <v>0.14184397163120566</v>
      </c>
      <c r="CF85" s="120">
        <v>9.5809155383623446E-2</v>
      </c>
      <c r="CG85" s="120">
        <v>8.3945841392649878E-2</v>
      </c>
      <c r="CH85" s="120">
        <v>7.195357833655705E-2</v>
      </c>
      <c r="CI85" s="120">
        <v>9.2843326885880054E-2</v>
      </c>
      <c r="CJ85" s="120">
        <v>7.195357833655705E-2</v>
      </c>
      <c r="CK85" s="120">
        <v>6.3056092843326875E-2</v>
      </c>
      <c r="CL85" s="120">
        <v>7.5950999355254664E-2</v>
      </c>
      <c r="CM85" s="120">
        <v>0.1466150870406189</v>
      </c>
      <c r="CN85" s="120">
        <v>3.0045132172791745E-2</v>
      </c>
      <c r="CO85" s="120">
        <v>1.8181818181818181E-2</v>
      </c>
      <c r="CY85" s="2" t="s">
        <v>157</v>
      </c>
      <c r="CZ85" s="2" t="s">
        <v>158</v>
      </c>
      <c r="DA85" s="131" t="s">
        <v>171</v>
      </c>
    </row>
    <row r="86" spans="2:105" ht="27" x14ac:dyDescent="0.3">
      <c r="B86" s="101"/>
      <c r="C86" s="102">
        <f>9</f>
        <v>9</v>
      </c>
      <c r="D86" s="102">
        <f>3</f>
        <v>3</v>
      </c>
      <c r="E86" s="102">
        <f>9</f>
        <v>9</v>
      </c>
      <c r="F86" s="102">
        <f>3</f>
        <v>3</v>
      </c>
      <c r="G86" s="102">
        <f>9</f>
        <v>9</v>
      </c>
      <c r="H86" s="102">
        <f>9</f>
        <v>9</v>
      </c>
      <c r="I86" s="108">
        <f>9</f>
        <v>9</v>
      </c>
      <c r="J86" s="102">
        <v>0</v>
      </c>
      <c r="K86" s="108">
        <f>9</f>
        <v>9</v>
      </c>
      <c r="L86" s="108">
        <f>3</f>
        <v>3</v>
      </c>
      <c r="M86" s="102">
        <f>0</f>
        <v>0</v>
      </c>
      <c r="N86" s="103">
        <f>0</f>
        <v>0</v>
      </c>
      <c r="O86" s="39"/>
      <c r="P86" s="39"/>
      <c r="T86" s="93">
        <f t="shared" si="87"/>
        <v>63</v>
      </c>
      <c r="U86" s="101">
        <f>C86*$X$17</f>
        <v>54</v>
      </c>
      <c r="V86" s="102">
        <f t="shared" ref="V86:AF86" si="93">D86*$X$17</f>
        <v>18</v>
      </c>
      <c r="W86" s="102">
        <f t="shared" si="93"/>
        <v>54</v>
      </c>
      <c r="X86" s="102">
        <f t="shared" si="93"/>
        <v>18</v>
      </c>
      <c r="Y86" s="102">
        <f t="shared" si="93"/>
        <v>54</v>
      </c>
      <c r="Z86" s="102">
        <f t="shared" si="93"/>
        <v>54</v>
      </c>
      <c r="AA86" s="102">
        <f t="shared" si="93"/>
        <v>54</v>
      </c>
      <c r="AB86" s="102">
        <f t="shared" si="93"/>
        <v>0</v>
      </c>
      <c r="AC86" s="102">
        <f t="shared" si="93"/>
        <v>54</v>
      </c>
      <c r="AD86" s="102">
        <f t="shared" si="93"/>
        <v>18</v>
      </c>
      <c r="AE86" s="102">
        <f t="shared" si="93"/>
        <v>0</v>
      </c>
      <c r="AF86" s="103">
        <f t="shared" si="93"/>
        <v>0</v>
      </c>
      <c r="CD86" s="20" t="s">
        <v>59</v>
      </c>
      <c r="CE86" s="20" t="s">
        <v>59</v>
      </c>
      <c r="CF86" s="20" t="s">
        <v>59</v>
      </c>
      <c r="CG86" s="20" t="s">
        <v>60</v>
      </c>
      <c r="CH86" s="20" t="s">
        <v>59</v>
      </c>
      <c r="CI86" s="20" t="s">
        <v>59</v>
      </c>
      <c r="CJ86" s="20" t="s">
        <v>59</v>
      </c>
      <c r="CK86" s="20" t="s">
        <v>60</v>
      </c>
      <c r="CL86" s="20" t="s">
        <v>59</v>
      </c>
      <c r="CM86" s="20" t="s">
        <v>60</v>
      </c>
      <c r="CN86" s="20" t="s">
        <v>59</v>
      </c>
      <c r="CO86" s="20" t="s">
        <v>127</v>
      </c>
      <c r="CY86" s="2" t="s">
        <v>159</v>
      </c>
      <c r="CZ86" s="2" t="s">
        <v>160</v>
      </c>
      <c r="DA86" s="131" t="s">
        <v>168</v>
      </c>
    </row>
    <row r="87" spans="2:105" ht="14.4" x14ac:dyDescent="0.3">
      <c r="B87" s="101"/>
      <c r="C87" s="102">
        <f>0</f>
        <v>0</v>
      </c>
      <c r="D87" s="102">
        <v>0</v>
      </c>
      <c r="E87" s="102">
        <f>0</f>
        <v>0</v>
      </c>
      <c r="F87" s="102">
        <f>0</f>
        <v>0</v>
      </c>
      <c r="G87" s="102">
        <f>0</f>
        <v>0</v>
      </c>
      <c r="H87" s="102">
        <f>0</f>
        <v>0</v>
      </c>
      <c r="I87" s="102">
        <f>0</f>
        <v>0</v>
      </c>
      <c r="J87" s="102">
        <f>0</f>
        <v>0</v>
      </c>
      <c r="K87" s="102">
        <f>0</f>
        <v>0</v>
      </c>
      <c r="L87" s="102">
        <f>0</f>
        <v>0</v>
      </c>
      <c r="M87" s="102">
        <f>9</f>
        <v>9</v>
      </c>
      <c r="N87" s="103">
        <f>0</f>
        <v>0</v>
      </c>
      <c r="O87" s="39"/>
      <c r="P87" s="39"/>
      <c r="T87" s="93">
        <f t="shared" si="87"/>
        <v>9</v>
      </c>
      <c r="U87" s="101">
        <f>C87*$X$18</f>
        <v>0</v>
      </c>
      <c r="V87" s="102">
        <f t="shared" ref="V87:AF87" si="94">D87*$X$18</f>
        <v>0</v>
      </c>
      <c r="W87" s="102">
        <f t="shared" si="94"/>
        <v>0</v>
      </c>
      <c r="X87" s="102">
        <f t="shared" si="94"/>
        <v>0</v>
      </c>
      <c r="Y87" s="102">
        <f t="shared" si="94"/>
        <v>0</v>
      </c>
      <c r="Z87" s="102">
        <f t="shared" si="94"/>
        <v>0</v>
      </c>
      <c r="AA87" s="102">
        <f t="shared" si="94"/>
        <v>0</v>
      </c>
      <c r="AB87" s="102">
        <f t="shared" si="94"/>
        <v>0</v>
      </c>
      <c r="AC87" s="102">
        <f t="shared" si="94"/>
        <v>0</v>
      </c>
      <c r="AD87" s="102">
        <f t="shared" si="94"/>
        <v>0</v>
      </c>
      <c r="AE87" s="102">
        <f t="shared" si="94"/>
        <v>27</v>
      </c>
      <c r="AF87" s="103">
        <f t="shared" si="94"/>
        <v>0</v>
      </c>
      <c r="CC87" s="2" t="s">
        <v>92</v>
      </c>
      <c r="CD87" s="11">
        <v>20000</v>
      </c>
      <c r="CE87" s="11">
        <v>45</v>
      </c>
      <c r="CF87" s="11">
        <v>120</v>
      </c>
      <c r="CG87" s="11">
        <v>25</v>
      </c>
      <c r="CH87" s="88">
        <v>0.97</v>
      </c>
      <c r="CI87" s="88">
        <v>0.2</v>
      </c>
      <c r="CJ87" s="11">
        <v>16000</v>
      </c>
      <c r="CK87" s="11">
        <v>2</v>
      </c>
      <c r="CL87" s="11">
        <v>3</v>
      </c>
      <c r="CM87" s="38" t="s">
        <v>77</v>
      </c>
      <c r="CN87" s="38">
        <v>4</v>
      </c>
      <c r="CO87" s="11">
        <v>0</v>
      </c>
      <c r="CY87" s="2" t="s">
        <v>161</v>
      </c>
      <c r="CZ87" s="2" t="s">
        <v>162</v>
      </c>
      <c r="DA87" s="131" t="s">
        <v>167</v>
      </c>
    </row>
    <row r="88" spans="2:105" ht="14.4" x14ac:dyDescent="0.3">
      <c r="B88" s="101"/>
      <c r="C88" s="102">
        <f>0</f>
        <v>0</v>
      </c>
      <c r="D88" s="102">
        <f>0</f>
        <v>0</v>
      </c>
      <c r="E88" s="102">
        <f>0</f>
        <v>0</v>
      </c>
      <c r="F88" s="102">
        <f>0</f>
        <v>0</v>
      </c>
      <c r="G88" s="102">
        <f>0</f>
        <v>0</v>
      </c>
      <c r="H88" s="102">
        <f>0</f>
        <v>0</v>
      </c>
      <c r="I88" s="102">
        <f>0</f>
        <v>0</v>
      </c>
      <c r="J88" s="102">
        <f>0</f>
        <v>0</v>
      </c>
      <c r="K88" s="102">
        <v>0</v>
      </c>
      <c r="L88" s="102">
        <f>0</f>
        <v>0</v>
      </c>
      <c r="M88" s="102">
        <f>3</f>
        <v>3</v>
      </c>
      <c r="N88" s="103">
        <f>0</f>
        <v>0</v>
      </c>
      <c r="T88" s="93">
        <f t="shared" si="87"/>
        <v>3</v>
      </c>
      <c r="U88" s="101">
        <f>C88*$X$19</f>
        <v>0</v>
      </c>
      <c r="V88" s="102">
        <f t="shared" ref="V88:AF88" si="95">D88*$X$19</f>
        <v>0</v>
      </c>
      <c r="W88" s="102">
        <f t="shared" si="95"/>
        <v>0</v>
      </c>
      <c r="X88" s="102">
        <f t="shared" si="95"/>
        <v>0</v>
      </c>
      <c r="Y88" s="102">
        <f t="shared" si="95"/>
        <v>0</v>
      </c>
      <c r="Z88" s="102">
        <f t="shared" si="95"/>
        <v>0</v>
      </c>
      <c r="AA88" s="102">
        <f t="shared" si="95"/>
        <v>0</v>
      </c>
      <c r="AB88" s="102">
        <f t="shared" si="95"/>
        <v>0</v>
      </c>
      <c r="AC88" s="102">
        <f t="shared" si="95"/>
        <v>0</v>
      </c>
      <c r="AD88" s="102">
        <f t="shared" si="95"/>
        <v>0</v>
      </c>
      <c r="AE88" s="102">
        <f t="shared" si="95"/>
        <v>3</v>
      </c>
      <c r="AF88" s="103">
        <f t="shared" si="95"/>
        <v>0</v>
      </c>
      <c r="CC88" s="2" t="s">
        <v>93</v>
      </c>
      <c r="CD88" s="11">
        <v>15000</v>
      </c>
      <c r="CE88" s="11">
        <v>51.8</v>
      </c>
      <c r="CF88" s="11">
        <v>110</v>
      </c>
      <c r="CG88" s="11">
        <v>27</v>
      </c>
      <c r="CH88" s="88">
        <v>0.9</v>
      </c>
      <c r="CI88" s="88">
        <v>0.25</v>
      </c>
      <c r="CJ88" s="11">
        <v>14000</v>
      </c>
      <c r="CK88" s="11">
        <v>3</v>
      </c>
      <c r="CL88" s="11">
        <v>2</v>
      </c>
      <c r="CM88" s="38" t="s">
        <v>76</v>
      </c>
      <c r="CN88" s="38">
        <v>6</v>
      </c>
      <c r="CO88" s="11">
        <v>0</v>
      </c>
      <c r="CY88" s="2" t="s">
        <v>163</v>
      </c>
      <c r="CZ88" s="2" t="s">
        <v>164</v>
      </c>
      <c r="DA88" s="131" t="s">
        <v>169</v>
      </c>
    </row>
    <row r="89" spans="2:105" ht="53.4" x14ac:dyDescent="0.3">
      <c r="B89" s="101"/>
      <c r="C89" s="102">
        <f>0</f>
        <v>0</v>
      </c>
      <c r="D89" s="102">
        <f>0</f>
        <v>0</v>
      </c>
      <c r="E89" s="108">
        <v>0</v>
      </c>
      <c r="F89" s="102">
        <f>0</f>
        <v>0</v>
      </c>
      <c r="G89" s="102">
        <f>0</f>
        <v>0</v>
      </c>
      <c r="H89" s="102">
        <f>0</f>
        <v>0</v>
      </c>
      <c r="I89" s="102">
        <f>0</f>
        <v>0</v>
      </c>
      <c r="J89" s="102">
        <f>0</f>
        <v>0</v>
      </c>
      <c r="K89" s="102">
        <f>0</f>
        <v>0</v>
      </c>
      <c r="L89" s="102">
        <f>0</f>
        <v>0</v>
      </c>
      <c r="M89" s="102">
        <f>0</f>
        <v>0</v>
      </c>
      <c r="N89" s="103">
        <f>9</f>
        <v>9</v>
      </c>
      <c r="T89" s="93">
        <f t="shared" si="87"/>
        <v>9</v>
      </c>
      <c r="U89" s="101">
        <f>C89*$X$20</f>
        <v>0</v>
      </c>
      <c r="V89" s="102">
        <f t="shared" ref="V89:AF89" si="96">D89*$X$20</f>
        <v>0</v>
      </c>
      <c r="W89" s="102">
        <f t="shared" si="96"/>
        <v>0</v>
      </c>
      <c r="X89" s="102">
        <f t="shared" si="96"/>
        <v>0</v>
      </c>
      <c r="Y89" s="102">
        <f t="shared" si="96"/>
        <v>0</v>
      </c>
      <c r="Z89" s="102">
        <f t="shared" si="96"/>
        <v>0</v>
      </c>
      <c r="AA89" s="102">
        <f t="shared" si="96"/>
        <v>0</v>
      </c>
      <c r="AB89" s="102">
        <f t="shared" si="96"/>
        <v>0</v>
      </c>
      <c r="AC89" s="102">
        <f t="shared" si="96"/>
        <v>0</v>
      </c>
      <c r="AD89" s="102">
        <f t="shared" si="96"/>
        <v>0</v>
      </c>
      <c r="AE89" s="102">
        <f t="shared" si="96"/>
        <v>0</v>
      </c>
      <c r="AF89" s="103">
        <f t="shared" si="96"/>
        <v>36</v>
      </c>
      <c r="CC89" s="2" t="s">
        <v>94</v>
      </c>
      <c r="CD89" s="11">
        <v>25000</v>
      </c>
      <c r="CE89" s="11">
        <v>45</v>
      </c>
      <c r="CF89" s="11">
        <v>120</v>
      </c>
      <c r="CG89" s="11">
        <v>27</v>
      </c>
      <c r="CH89" s="88">
        <v>0.95</v>
      </c>
      <c r="CI89" s="88">
        <v>0.35</v>
      </c>
      <c r="CJ89" s="11">
        <v>17000</v>
      </c>
      <c r="CK89" s="11">
        <v>1</v>
      </c>
      <c r="CL89" s="11">
        <v>3</v>
      </c>
      <c r="CM89" s="38" t="s">
        <v>77</v>
      </c>
      <c r="CN89" s="38">
        <v>3</v>
      </c>
      <c r="CO89" s="11">
        <v>0</v>
      </c>
      <c r="CP89" s="2" t="s">
        <v>107</v>
      </c>
      <c r="CY89" s="2" t="s">
        <v>165</v>
      </c>
      <c r="CZ89" s="2" t="s">
        <v>166</v>
      </c>
      <c r="DA89" s="131" t="s">
        <v>172</v>
      </c>
    </row>
    <row r="90" spans="2:105" ht="14.4" x14ac:dyDescent="0.3">
      <c r="B90" s="101"/>
      <c r="C90" s="102">
        <f>3</f>
        <v>3</v>
      </c>
      <c r="D90" s="102">
        <f>1</f>
        <v>1</v>
      </c>
      <c r="E90" s="102">
        <f>0</f>
        <v>0</v>
      </c>
      <c r="F90" s="102">
        <f>0</f>
        <v>0</v>
      </c>
      <c r="G90" s="102">
        <f>9</f>
        <v>9</v>
      </c>
      <c r="H90" s="102">
        <f>0</f>
        <v>0</v>
      </c>
      <c r="I90" s="102">
        <f>0</f>
        <v>0</v>
      </c>
      <c r="J90" s="102">
        <f>0</f>
        <v>0</v>
      </c>
      <c r="K90" s="102">
        <f>1</f>
        <v>1</v>
      </c>
      <c r="L90" s="102">
        <f>0</f>
        <v>0</v>
      </c>
      <c r="M90" s="102">
        <f>0</f>
        <v>0</v>
      </c>
      <c r="N90" s="103">
        <f>0</f>
        <v>0</v>
      </c>
      <c r="T90" s="93">
        <f t="shared" si="87"/>
        <v>14</v>
      </c>
      <c r="U90" s="101">
        <f>C90*$X$21</f>
        <v>18</v>
      </c>
      <c r="V90" s="102">
        <f t="shared" ref="V90:AF90" si="97">D90*$X$21</f>
        <v>6</v>
      </c>
      <c r="W90" s="102">
        <f t="shared" si="97"/>
        <v>0</v>
      </c>
      <c r="X90" s="102">
        <f t="shared" si="97"/>
        <v>0</v>
      </c>
      <c r="Y90" s="102">
        <f t="shared" si="97"/>
        <v>54</v>
      </c>
      <c r="Z90" s="102">
        <f t="shared" si="97"/>
        <v>0</v>
      </c>
      <c r="AA90" s="102">
        <f t="shared" si="97"/>
        <v>0</v>
      </c>
      <c r="AB90" s="102">
        <f t="shared" si="97"/>
        <v>0</v>
      </c>
      <c r="AC90" s="102">
        <f t="shared" si="97"/>
        <v>6</v>
      </c>
      <c r="AD90" s="102">
        <f t="shared" si="97"/>
        <v>0</v>
      </c>
      <c r="AE90" s="102">
        <f t="shared" si="97"/>
        <v>0</v>
      </c>
      <c r="AF90" s="103">
        <f t="shared" si="97"/>
        <v>0</v>
      </c>
      <c r="CC90" s="2" t="s">
        <v>95</v>
      </c>
      <c r="CD90" s="119" t="s">
        <v>98</v>
      </c>
      <c r="CE90" s="119" t="s">
        <v>96</v>
      </c>
      <c r="CF90" s="119" t="s">
        <v>97</v>
      </c>
      <c r="CG90" s="119" t="s">
        <v>99</v>
      </c>
      <c r="CH90" s="119" t="s">
        <v>100</v>
      </c>
      <c r="CI90" s="119" t="s">
        <v>101</v>
      </c>
      <c r="CJ90" s="119" t="s">
        <v>102</v>
      </c>
      <c r="CK90" s="121" t="s">
        <v>103</v>
      </c>
      <c r="CL90" s="121" t="s">
        <v>103</v>
      </c>
      <c r="CM90" s="119" t="s">
        <v>104</v>
      </c>
      <c r="CN90" s="121" t="s">
        <v>105</v>
      </c>
      <c r="CO90" s="119" t="s">
        <v>106</v>
      </c>
    </row>
    <row r="91" spans="2:105" ht="14.4" x14ac:dyDescent="0.3">
      <c r="B91" s="101"/>
      <c r="C91" s="102">
        <f>0</f>
        <v>0</v>
      </c>
      <c r="D91" s="102">
        <v>0</v>
      </c>
      <c r="E91" s="102">
        <f>0</f>
        <v>0</v>
      </c>
      <c r="F91" s="102">
        <f>9</f>
        <v>9</v>
      </c>
      <c r="G91" s="102">
        <f>0</f>
        <v>0</v>
      </c>
      <c r="H91" s="102">
        <f>0</f>
        <v>0</v>
      </c>
      <c r="I91" s="102">
        <f>0</f>
        <v>0</v>
      </c>
      <c r="J91" s="102">
        <f>0</f>
        <v>0</v>
      </c>
      <c r="K91" s="102">
        <f>0</f>
        <v>0</v>
      </c>
      <c r="L91" s="102">
        <f>0</f>
        <v>0</v>
      </c>
      <c r="M91" s="102">
        <f>0</f>
        <v>0</v>
      </c>
      <c r="N91" s="103">
        <f>0</f>
        <v>0</v>
      </c>
      <c r="T91" s="93">
        <f t="shared" si="87"/>
        <v>9</v>
      </c>
      <c r="U91" s="101">
        <f>C91*$X$22</f>
        <v>0</v>
      </c>
      <c r="V91" s="102">
        <f t="shared" ref="V91:AF91" si="98">D91*$X$22</f>
        <v>0</v>
      </c>
      <c r="W91" s="102">
        <f t="shared" si="98"/>
        <v>0</v>
      </c>
      <c r="X91" s="102">
        <f t="shared" si="98"/>
        <v>32.4</v>
      </c>
      <c r="Y91" s="102">
        <f t="shared" si="98"/>
        <v>0</v>
      </c>
      <c r="Z91" s="102">
        <f t="shared" si="98"/>
        <v>0</v>
      </c>
      <c r="AA91" s="102">
        <f t="shared" si="98"/>
        <v>0</v>
      </c>
      <c r="AB91" s="102">
        <f t="shared" si="98"/>
        <v>0</v>
      </c>
      <c r="AC91" s="102">
        <f t="shared" si="98"/>
        <v>0</v>
      </c>
      <c r="AD91" s="102">
        <f t="shared" si="98"/>
        <v>0</v>
      </c>
      <c r="AE91" s="102">
        <f t="shared" si="98"/>
        <v>0</v>
      </c>
      <c r="AF91" s="103">
        <f t="shared" si="98"/>
        <v>0</v>
      </c>
      <c r="CC91" s="2" t="s">
        <v>108</v>
      </c>
      <c r="CD91" s="8">
        <v>25000</v>
      </c>
      <c r="CE91" s="8">
        <v>45</v>
      </c>
      <c r="CF91" s="8">
        <v>120</v>
      </c>
      <c r="CG91" s="8">
        <v>25</v>
      </c>
      <c r="CH91" s="89">
        <v>0.97</v>
      </c>
      <c r="CI91" s="89">
        <v>0.35</v>
      </c>
      <c r="CJ91" s="8">
        <v>20000</v>
      </c>
      <c r="CK91" s="8">
        <v>1</v>
      </c>
      <c r="CL91" s="8">
        <v>4</v>
      </c>
      <c r="CM91" s="8" t="s">
        <v>78</v>
      </c>
      <c r="CN91" s="8">
        <v>4</v>
      </c>
      <c r="CO91" s="8">
        <v>1</v>
      </c>
    </row>
    <row r="92" spans="2:105" ht="15" thickBot="1" x14ac:dyDescent="0.35">
      <c r="B92" s="104"/>
      <c r="C92" s="105">
        <f>0</f>
        <v>0</v>
      </c>
      <c r="D92" s="105">
        <f>3</f>
        <v>3</v>
      </c>
      <c r="E92" s="105">
        <f>0</f>
        <v>0</v>
      </c>
      <c r="F92" s="105">
        <f>0</f>
        <v>0</v>
      </c>
      <c r="G92" s="105">
        <f>0</f>
        <v>0</v>
      </c>
      <c r="H92" s="105">
        <f>0</f>
        <v>0</v>
      </c>
      <c r="I92" s="105">
        <f>0</f>
        <v>0</v>
      </c>
      <c r="J92" s="105">
        <f>9</f>
        <v>9</v>
      </c>
      <c r="K92" s="105">
        <f>0</f>
        <v>0</v>
      </c>
      <c r="L92" s="105">
        <f>0</f>
        <v>0</v>
      </c>
      <c r="M92" s="105">
        <f>0</f>
        <v>0</v>
      </c>
      <c r="N92" s="106">
        <f>0</f>
        <v>0</v>
      </c>
      <c r="T92" s="95">
        <f t="shared" si="87"/>
        <v>12</v>
      </c>
      <c r="U92" s="104">
        <f>C92*$X$23</f>
        <v>0</v>
      </c>
      <c r="V92" s="105">
        <f t="shared" ref="V92:AF92" si="99">D92*$X$23</f>
        <v>9</v>
      </c>
      <c r="W92" s="105">
        <f t="shared" si="99"/>
        <v>0</v>
      </c>
      <c r="X92" s="105">
        <f t="shared" si="99"/>
        <v>0</v>
      </c>
      <c r="Y92" s="105">
        <f t="shared" si="99"/>
        <v>0</v>
      </c>
      <c r="Z92" s="105">
        <f t="shared" si="99"/>
        <v>0</v>
      </c>
      <c r="AA92" s="105">
        <f t="shared" si="99"/>
        <v>0</v>
      </c>
      <c r="AB92" s="105">
        <f t="shared" si="99"/>
        <v>27</v>
      </c>
      <c r="AC92" s="105">
        <f t="shared" si="99"/>
        <v>0</v>
      </c>
      <c r="AD92" s="105">
        <f t="shared" si="99"/>
        <v>0</v>
      </c>
      <c r="AE92" s="105">
        <f t="shared" si="99"/>
        <v>0</v>
      </c>
      <c r="AF92" s="106">
        <f t="shared" si="99"/>
        <v>0</v>
      </c>
    </row>
    <row r="93" spans="2:105" ht="13.8" thickBot="1" x14ac:dyDescent="0.3">
      <c r="CD93" s="123" t="s">
        <v>123</v>
      </c>
    </row>
    <row r="94" spans="2:105" ht="15" thickBot="1" x14ac:dyDescent="0.35">
      <c r="B94" s="90" t="s">
        <v>82</v>
      </c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2"/>
      <c r="T94" s="97" t="s">
        <v>80</v>
      </c>
      <c r="U94" s="126" t="s">
        <v>83</v>
      </c>
      <c r="V94" s="127"/>
      <c r="W94" s="127"/>
      <c r="X94" s="127"/>
      <c r="Y94" s="127"/>
      <c r="Z94" s="127"/>
      <c r="AA94" s="127"/>
      <c r="AB94" s="127"/>
      <c r="AC94" s="127"/>
      <c r="AD94" s="127"/>
      <c r="AE94" s="127"/>
      <c r="AF94" s="128"/>
      <c r="CD94" s="119" t="s">
        <v>124</v>
      </c>
      <c r="CE94" s="119" t="s">
        <v>125</v>
      </c>
      <c r="CF94" s="119" t="s">
        <v>126</v>
      </c>
      <c r="CG94" s="2" t="s">
        <v>132</v>
      </c>
      <c r="CH94" s="2" t="s">
        <v>133</v>
      </c>
      <c r="CI94" s="2" t="s">
        <v>134</v>
      </c>
      <c r="CJ94" s="2" t="s">
        <v>138</v>
      </c>
      <c r="CK94" s="2" t="s">
        <v>137</v>
      </c>
      <c r="CL94" s="2" t="s">
        <v>135</v>
      </c>
    </row>
    <row r="95" spans="2:105" ht="15.6" x14ac:dyDescent="0.35">
      <c r="B95" s="93"/>
      <c r="C95" s="102">
        <f>C81/$T81</f>
        <v>0.42857142857142855</v>
      </c>
      <c r="D95" s="102">
        <f t="shared" ref="D95:N95" si="100">D81/$T81</f>
        <v>0</v>
      </c>
      <c r="E95" s="102">
        <f t="shared" si="100"/>
        <v>0.14285714285714285</v>
      </c>
      <c r="F95" s="102">
        <f t="shared" si="100"/>
        <v>0</v>
      </c>
      <c r="G95" s="102">
        <f t="shared" si="100"/>
        <v>0</v>
      </c>
      <c r="H95" s="102">
        <f t="shared" si="100"/>
        <v>0</v>
      </c>
      <c r="I95" s="102">
        <f t="shared" si="100"/>
        <v>0</v>
      </c>
      <c r="J95" s="102">
        <f t="shared" si="100"/>
        <v>0</v>
      </c>
      <c r="K95" s="102">
        <f t="shared" si="100"/>
        <v>0</v>
      </c>
      <c r="L95" s="102">
        <f t="shared" si="100"/>
        <v>0.42857142857142855</v>
      </c>
      <c r="M95" s="102">
        <f t="shared" si="100"/>
        <v>0</v>
      </c>
      <c r="N95" s="103">
        <f t="shared" si="100"/>
        <v>0</v>
      </c>
      <c r="T95" s="113">
        <f>SUM(C95:N95)</f>
        <v>1</v>
      </c>
      <c r="U95" s="98">
        <f t="shared" ref="U95:U106" si="101">C95*$X12</f>
        <v>3.214285714285714</v>
      </c>
      <c r="V95" s="99">
        <f t="shared" ref="V95:AB95" si="102">D95*$X12</f>
        <v>0</v>
      </c>
      <c r="W95" s="99">
        <f t="shared" si="102"/>
        <v>1.0714285714285714</v>
      </c>
      <c r="X95" s="99">
        <f t="shared" si="102"/>
        <v>0</v>
      </c>
      <c r="Y95" s="99">
        <f t="shared" si="102"/>
        <v>0</v>
      </c>
      <c r="Z95" s="99">
        <f t="shared" si="102"/>
        <v>0</v>
      </c>
      <c r="AA95" s="99">
        <f t="shared" si="102"/>
        <v>0</v>
      </c>
      <c r="AB95" s="99">
        <f t="shared" si="102"/>
        <v>0</v>
      </c>
      <c r="AC95" s="99">
        <f>K95*$X12</f>
        <v>0</v>
      </c>
      <c r="AD95" s="99">
        <f t="shared" ref="AD95:AD106" si="103">L95*$X12</f>
        <v>3.214285714285714</v>
      </c>
      <c r="AE95" s="99">
        <f t="shared" ref="AE95:AE106" si="104">M95*$X12</f>
        <v>0</v>
      </c>
      <c r="AF95" s="100">
        <f t="shared" ref="AF95:AF103" si="105">N95*$X12</f>
        <v>0</v>
      </c>
      <c r="CC95" s="118" t="s">
        <v>109</v>
      </c>
      <c r="CD95" s="119" t="s">
        <v>128</v>
      </c>
      <c r="CE95" s="119" t="s">
        <v>129</v>
      </c>
      <c r="CF95" s="119"/>
      <c r="CG95" s="122">
        <f>SUM(CD85,CI85,CJ85,CK85,CL85,CM85)</f>
        <v>0.55822050290135383</v>
      </c>
      <c r="CH95" s="122">
        <f>SUM(CE85,CF85,CG85,CH85,CN85,CO85)</f>
        <v>0.441779497098646</v>
      </c>
      <c r="CI95" s="119">
        <v>0</v>
      </c>
      <c r="CJ95" s="122">
        <f>(CG95+CH95)/(100%)</f>
        <v>0.99999999999999978</v>
      </c>
      <c r="CK95" s="119"/>
      <c r="CL95" s="119" t="s">
        <v>136</v>
      </c>
      <c r="CM95" s="119"/>
      <c r="CN95" s="119"/>
      <c r="CO95" s="119"/>
    </row>
    <row r="96" spans="2:105" ht="15.6" x14ac:dyDescent="0.35">
      <c r="B96" s="93"/>
      <c r="C96" s="102">
        <f t="shared" ref="C96:N106" si="106">C82/$T82</f>
        <v>0</v>
      </c>
      <c r="D96" s="102">
        <f t="shared" si="106"/>
        <v>0.25</v>
      </c>
      <c r="E96" s="102">
        <f t="shared" si="106"/>
        <v>0</v>
      </c>
      <c r="F96" s="102">
        <f t="shared" si="106"/>
        <v>0.25</v>
      </c>
      <c r="G96" s="102">
        <f t="shared" si="106"/>
        <v>0</v>
      </c>
      <c r="H96" s="102">
        <f t="shared" si="106"/>
        <v>0.25</v>
      </c>
      <c r="I96" s="102">
        <f t="shared" si="106"/>
        <v>0</v>
      </c>
      <c r="J96" s="102">
        <f t="shared" si="106"/>
        <v>0</v>
      </c>
      <c r="K96" s="102">
        <f t="shared" si="106"/>
        <v>0</v>
      </c>
      <c r="L96" s="102">
        <f t="shared" si="106"/>
        <v>0.25</v>
      </c>
      <c r="M96" s="102">
        <f t="shared" si="106"/>
        <v>0</v>
      </c>
      <c r="N96" s="103">
        <f t="shared" si="106"/>
        <v>0</v>
      </c>
      <c r="T96" s="113">
        <f t="shared" ref="T96:T106" si="107">SUM(C96:N96)</f>
        <v>1</v>
      </c>
      <c r="U96" s="101">
        <f t="shared" si="101"/>
        <v>0</v>
      </c>
      <c r="V96" s="102">
        <f t="shared" ref="V96:AC96" si="108">D96*$X13</f>
        <v>1.875</v>
      </c>
      <c r="W96" s="102">
        <f t="shared" si="108"/>
        <v>0</v>
      </c>
      <c r="X96" s="102">
        <f t="shared" si="108"/>
        <v>1.875</v>
      </c>
      <c r="Y96" s="102">
        <f t="shared" si="108"/>
        <v>0</v>
      </c>
      <c r="Z96" s="102">
        <f t="shared" si="108"/>
        <v>1.875</v>
      </c>
      <c r="AA96" s="102">
        <f t="shared" si="108"/>
        <v>0</v>
      </c>
      <c r="AB96" s="102">
        <f t="shared" si="108"/>
        <v>0</v>
      </c>
      <c r="AC96" s="102">
        <f t="shared" si="108"/>
        <v>0</v>
      </c>
      <c r="AD96" s="102">
        <f t="shared" si="103"/>
        <v>1.875</v>
      </c>
      <c r="AE96" s="102">
        <f t="shared" si="104"/>
        <v>0</v>
      </c>
      <c r="AF96" s="103">
        <f t="shared" si="105"/>
        <v>0</v>
      </c>
      <c r="CC96" s="118" t="s">
        <v>110</v>
      </c>
      <c r="CD96" s="119" t="s">
        <v>130</v>
      </c>
      <c r="CE96" s="119" t="s">
        <v>122</v>
      </c>
      <c r="CF96" s="119" t="s">
        <v>131</v>
      </c>
      <c r="CG96" s="124">
        <f>SUM(CD85,CF85,CG85,CH85,CI85,CJ85,CK85,CL85,CM85)</f>
        <v>0.80992907801418412</v>
      </c>
      <c r="CH96" s="122">
        <f>CO85</f>
        <v>1.8181818181818181E-2</v>
      </c>
      <c r="CI96" s="122">
        <f>SUM(CE85,CN85)</f>
        <v>0.17188910380399741</v>
      </c>
      <c r="CJ96" s="122">
        <f>(CG96+CH96)/(100%)</f>
        <v>0.82811089619600231</v>
      </c>
      <c r="CK96" s="122">
        <f t="shared" ref="CK96:CK101" si="109">CG96/CI96</f>
        <v>4.7119279819954976</v>
      </c>
      <c r="CL96" s="119" t="s">
        <v>136</v>
      </c>
      <c r="CM96" s="119"/>
      <c r="CN96" s="119"/>
      <c r="CO96" s="119"/>
    </row>
    <row r="97" spans="2:93" ht="15.6" x14ac:dyDescent="0.35">
      <c r="B97" s="93"/>
      <c r="C97" s="102">
        <f t="shared" si="106"/>
        <v>0</v>
      </c>
      <c r="D97" s="102">
        <f t="shared" si="106"/>
        <v>0.23076923076923078</v>
      </c>
      <c r="E97" s="102">
        <f t="shared" si="106"/>
        <v>0</v>
      </c>
      <c r="F97" s="102">
        <f t="shared" si="106"/>
        <v>0</v>
      </c>
      <c r="G97" s="102">
        <f t="shared" si="106"/>
        <v>0</v>
      </c>
      <c r="H97" s="102">
        <f t="shared" si="106"/>
        <v>7.6923076923076927E-2</v>
      </c>
      <c r="I97" s="102">
        <f t="shared" si="106"/>
        <v>0.23076923076923078</v>
      </c>
      <c r="J97" s="102">
        <f t="shared" si="106"/>
        <v>0.23076923076923078</v>
      </c>
      <c r="K97" s="102">
        <f t="shared" si="106"/>
        <v>0.23076923076923078</v>
      </c>
      <c r="L97" s="102">
        <f t="shared" si="106"/>
        <v>0</v>
      </c>
      <c r="M97" s="102">
        <f t="shared" si="106"/>
        <v>0</v>
      </c>
      <c r="N97" s="103">
        <f t="shared" si="106"/>
        <v>0</v>
      </c>
      <c r="T97" s="113">
        <f t="shared" si="107"/>
        <v>1.0000000000000002</v>
      </c>
      <c r="U97" s="101">
        <f t="shared" si="101"/>
        <v>0</v>
      </c>
      <c r="V97" s="102">
        <f t="shared" ref="V97:AC97" si="110">D97*$X14</f>
        <v>1.4769230769230768</v>
      </c>
      <c r="W97" s="102">
        <f t="shared" si="110"/>
        <v>0</v>
      </c>
      <c r="X97" s="102">
        <f t="shared" si="110"/>
        <v>0</v>
      </c>
      <c r="Y97" s="102">
        <f t="shared" si="110"/>
        <v>0</v>
      </c>
      <c r="Z97" s="102">
        <f t="shared" si="110"/>
        <v>0.49230769230769228</v>
      </c>
      <c r="AA97" s="102">
        <f t="shared" si="110"/>
        <v>1.4769230769230768</v>
      </c>
      <c r="AB97" s="102">
        <f t="shared" si="110"/>
        <v>1.4769230769230768</v>
      </c>
      <c r="AC97" s="102">
        <f t="shared" si="110"/>
        <v>1.4769230769230768</v>
      </c>
      <c r="AD97" s="102">
        <f t="shared" si="103"/>
        <v>0</v>
      </c>
      <c r="AE97" s="102">
        <f t="shared" si="104"/>
        <v>0</v>
      </c>
      <c r="AF97" s="103">
        <f t="shared" si="105"/>
        <v>0</v>
      </c>
      <c r="CC97" s="118" t="s">
        <v>111</v>
      </c>
      <c r="CD97" s="119" t="s">
        <v>149</v>
      </c>
      <c r="CE97" s="119" t="s">
        <v>139</v>
      </c>
      <c r="CF97" s="119"/>
      <c r="CG97" s="122">
        <f>SUM(CG85,CH85,CJ85,CL85,CM85,CN85)</f>
        <v>0.48046421663442934</v>
      </c>
      <c r="CH97" s="122">
        <f>SUM(CD85,CE85,CF85,CI85,CK85,CO85)</f>
        <v>0.51953578336557049</v>
      </c>
      <c r="CI97" s="119">
        <v>0</v>
      </c>
      <c r="CJ97" s="122">
        <f>(CG97+CH97)/(100%)</f>
        <v>0.99999999999999978</v>
      </c>
      <c r="CK97" s="122"/>
      <c r="CL97" s="119" t="s">
        <v>136</v>
      </c>
      <c r="CM97" s="119"/>
      <c r="CN97" s="119"/>
      <c r="CO97" s="119"/>
    </row>
    <row r="98" spans="2:93" ht="15.6" x14ac:dyDescent="0.35">
      <c r="B98" s="93"/>
      <c r="C98" s="102">
        <f t="shared" si="106"/>
        <v>0</v>
      </c>
      <c r="D98" s="102">
        <f t="shared" si="106"/>
        <v>1</v>
      </c>
      <c r="E98" s="102">
        <f t="shared" si="106"/>
        <v>0</v>
      </c>
      <c r="F98" s="102">
        <f t="shared" si="106"/>
        <v>0</v>
      </c>
      <c r="G98" s="102">
        <f t="shared" si="106"/>
        <v>0</v>
      </c>
      <c r="H98" s="102">
        <f t="shared" si="106"/>
        <v>0</v>
      </c>
      <c r="I98" s="102">
        <f t="shared" si="106"/>
        <v>0</v>
      </c>
      <c r="J98" s="102">
        <f t="shared" si="106"/>
        <v>0</v>
      </c>
      <c r="K98" s="102">
        <f t="shared" si="106"/>
        <v>0</v>
      </c>
      <c r="L98" s="102">
        <f t="shared" si="106"/>
        <v>0</v>
      </c>
      <c r="M98" s="102">
        <f t="shared" si="106"/>
        <v>0</v>
      </c>
      <c r="N98" s="103">
        <f t="shared" si="106"/>
        <v>0</v>
      </c>
      <c r="T98" s="113">
        <f t="shared" si="107"/>
        <v>1</v>
      </c>
      <c r="U98" s="101">
        <f t="shared" si="101"/>
        <v>0</v>
      </c>
      <c r="V98" s="102">
        <f t="shared" ref="V98:AC98" si="111">D98*$X15</f>
        <v>4</v>
      </c>
      <c r="W98" s="102">
        <f t="shared" si="111"/>
        <v>0</v>
      </c>
      <c r="X98" s="102">
        <f t="shared" si="111"/>
        <v>0</v>
      </c>
      <c r="Y98" s="102">
        <f t="shared" si="111"/>
        <v>0</v>
      </c>
      <c r="Z98" s="102">
        <f t="shared" si="111"/>
        <v>0</v>
      </c>
      <c r="AA98" s="102">
        <f t="shared" si="111"/>
        <v>0</v>
      </c>
      <c r="AB98" s="102">
        <f t="shared" si="111"/>
        <v>0</v>
      </c>
      <c r="AC98" s="102">
        <f t="shared" si="111"/>
        <v>0</v>
      </c>
      <c r="AD98" s="102">
        <f t="shared" si="103"/>
        <v>0</v>
      </c>
      <c r="AE98" s="102">
        <f t="shared" si="104"/>
        <v>0</v>
      </c>
      <c r="AF98" s="103">
        <f t="shared" si="105"/>
        <v>0</v>
      </c>
      <c r="CC98" s="118" t="s">
        <v>112</v>
      </c>
      <c r="CD98" s="119"/>
      <c r="CE98" s="119" t="s">
        <v>129</v>
      </c>
      <c r="CF98" s="119" t="s">
        <v>141</v>
      </c>
      <c r="CG98" s="119">
        <v>0</v>
      </c>
      <c r="CH98" s="122">
        <f>SUM(CE85,CF85,CG85,CH85,CN85,CO85)</f>
        <v>0.441779497098646</v>
      </c>
      <c r="CI98" s="122">
        <f>SUM(CD85,CI85,CJ85,CL85,CK85,CM85)</f>
        <v>0.55822050290135383</v>
      </c>
      <c r="CJ98" s="122">
        <f>(CG98+CH98)/(100%)</f>
        <v>0.441779497098646</v>
      </c>
      <c r="CK98" s="122">
        <f t="shared" si="109"/>
        <v>0</v>
      </c>
      <c r="CL98" s="119" t="s">
        <v>140</v>
      </c>
      <c r="CM98" s="119"/>
      <c r="CN98" s="119"/>
      <c r="CO98" s="119"/>
    </row>
    <row r="99" spans="2:93" ht="15.6" x14ac:dyDescent="0.35">
      <c r="B99" s="93"/>
      <c r="C99" s="102">
        <f t="shared" si="106"/>
        <v>0.14285714285714285</v>
      </c>
      <c r="D99" s="102">
        <f t="shared" si="106"/>
        <v>0</v>
      </c>
      <c r="E99" s="102">
        <f t="shared" si="106"/>
        <v>0.42857142857142855</v>
      </c>
      <c r="F99" s="102">
        <f t="shared" si="106"/>
        <v>0</v>
      </c>
      <c r="G99" s="102">
        <f t="shared" si="106"/>
        <v>0</v>
      </c>
      <c r="H99" s="102">
        <f t="shared" si="106"/>
        <v>0</v>
      </c>
      <c r="I99" s="102">
        <f t="shared" si="106"/>
        <v>0</v>
      </c>
      <c r="J99" s="102">
        <f t="shared" si="106"/>
        <v>0</v>
      </c>
      <c r="K99" s="102">
        <f t="shared" si="106"/>
        <v>0</v>
      </c>
      <c r="L99" s="102">
        <f t="shared" si="106"/>
        <v>0.42857142857142855</v>
      </c>
      <c r="M99" s="102">
        <f t="shared" si="106"/>
        <v>0</v>
      </c>
      <c r="N99" s="103">
        <f t="shared" si="106"/>
        <v>0</v>
      </c>
      <c r="T99" s="113">
        <f t="shared" si="107"/>
        <v>1</v>
      </c>
      <c r="U99" s="101">
        <f t="shared" si="101"/>
        <v>1.4285714285714284</v>
      </c>
      <c r="V99" s="102">
        <f t="shared" ref="V99:AC99" si="112">D99*$X16</f>
        <v>0</v>
      </c>
      <c r="W99" s="102">
        <f t="shared" si="112"/>
        <v>4.2857142857142856</v>
      </c>
      <c r="X99" s="102">
        <f t="shared" si="112"/>
        <v>0</v>
      </c>
      <c r="Y99" s="102">
        <f t="shared" si="112"/>
        <v>0</v>
      </c>
      <c r="Z99" s="102">
        <f t="shared" si="112"/>
        <v>0</v>
      </c>
      <c r="AA99" s="102">
        <f t="shared" si="112"/>
        <v>0</v>
      </c>
      <c r="AB99" s="102">
        <f t="shared" si="112"/>
        <v>0</v>
      </c>
      <c r="AC99" s="102">
        <f t="shared" si="112"/>
        <v>0</v>
      </c>
      <c r="AD99" s="102">
        <f t="shared" si="103"/>
        <v>4.2857142857142856</v>
      </c>
      <c r="AE99" s="102">
        <f t="shared" si="104"/>
        <v>0</v>
      </c>
      <c r="AF99" s="103">
        <f t="shared" si="105"/>
        <v>0</v>
      </c>
      <c r="CC99" s="118" t="s">
        <v>113</v>
      </c>
      <c r="CD99" s="119" t="s">
        <v>142</v>
      </c>
      <c r="CE99" s="119" t="s">
        <v>122</v>
      </c>
      <c r="CF99" s="119" t="s">
        <v>143</v>
      </c>
      <c r="CG99" s="122">
        <f>SUM(CD85+CF85+CG85+CH85+CJ85+CK85+CL85+CM85)</f>
        <v>0.71708575112830408</v>
      </c>
      <c r="CH99" s="120">
        <v>1.8181818181818181E-2</v>
      </c>
      <c r="CI99" s="122">
        <f>SUM(CE85+CI85+CN85)</f>
        <v>0.26473243068987745</v>
      </c>
      <c r="CJ99" s="122">
        <f>SUM(CG99+CH99)</f>
        <v>0.73526756931012227</v>
      </c>
      <c r="CK99" s="122">
        <f t="shared" si="109"/>
        <v>2.7087189478811493</v>
      </c>
      <c r="CL99" s="119" t="s">
        <v>136</v>
      </c>
      <c r="CM99" s="119"/>
      <c r="CN99" s="119"/>
      <c r="CO99" s="119"/>
    </row>
    <row r="100" spans="2:93" ht="15.6" x14ac:dyDescent="0.35">
      <c r="B100" s="93"/>
      <c r="C100" s="102">
        <f t="shared" si="106"/>
        <v>0.14285714285714285</v>
      </c>
      <c r="D100" s="102">
        <f t="shared" si="106"/>
        <v>4.7619047619047616E-2</v>
      </c>
      <c r="E100" s="102">
        <f t="shared" si="106"/>
        <v>0.14285714285714285</v>
      </c>
      <c r="F100" s="102">
        <f t="shared" si="106"/>
        <v>4.7619047619047616E-2</v>
      </c>
      <c r="G100" s="102">
        <f t="shared" si="106"/>
        <v>0.14285714285714285</v>
      </c>
      <c r="H100" s="102">
        <f t="shared" si="106"/>
        <v>0.14285714285714285</v>
      </c>
      <c r="I100" s="102">
        <f t="shared" si="106"/>
        <v>0.14285714285714285</v>
      </c>
      <c r="J100" s="102">
        <f t="shared" si="106"/>
        <v>0</v>
      </c>
      <c r="K100" s="102">
        <f t="shared" si="106"/>
        <v>0.14285714285714285</v>
      </c>
      <c r="L100" s="102">
        <f t="shared" si="106"/>
        <v>4.7619047619047616E-2</v>
      </c>
      <c r="M100" s="102">
        <f t="shared" si="106"/>
        <v>0</v>
      </c>
      <c r="N100" s="103">
        <f t="shared" si="106"/>
        <v>0</v>
      </c>
      <c r="T100" s="113">
        <f t="shared" si="107"/>
        <v>0.99999999999999978</v>
      </c>
      <c r="U100" s="101">
        <f t="shared" si="101"/>
        <v>0.8571428571428571</v>
      </c>
      <c r="V100" s="102">
        <f t="shared" ref="V100:AC100" si="113">D100*$X17</f>
        <v>0.2857142857142857</v>
      </c>
      <c r="W100" s="102">
        <f t="shared" si="113"/>
        <v>0.8571428571428571</v>
      </c>
      <c r="X100" s="102">
        <f t="shared" si="113"/>
        <v>0.2857142857142857</v>
      </c>
      <c r="Y100" s="102">
        <f t="shared" si="113"/>
        <v>0.8571428571428571</v>
      </c>
      <c r="Z100" s="102">
        <f t="shared" si="113"/>
        <v>0.8571428571428571</v>
      </c>
      <c r="AA100" s="102">
        <f t="shared" si="113"/>
        <v>0.8571428571428571</v>
      </c>
      <c r="AB100" s="102">
        <f t="shared" si="113"/>
        <v>0</v>
      </c>
      <c r="AC100" s="102">
        <f t="shared" si="113"/>
        <v>0.8571428571428571</v>
      </c>
      <c r="AD100" s="102">
        <f t="shared" si="103"/>
        <v>0.2857142857142857</v>
      </c>
      <c r="AE100" s="102">
        <f t="shared" si="104"/>
        <v>0</v>
      </c>
      <c r="AF100" s="103">
        <f t="shared" si="105"/>
        <v>0</v>
      </c>
      <c r="CC100" s="118" t="s">
        <v>114</v>
      </c>
      <c r="CD100" s="119" t="s">
        <v>144</v>
      </c>
      <c r="CE100" s="119" t="s">
        <v>145</v>
      </c>
      <c r="CF100" s="119" t="s">
        <v>146</v>
      </c>
      <c r="CG100" s="122">
        <f>SUM(CG85+CH85+CN85)</f>
        <v>0.18594455190199868</v>
      </c>
      <c r="CH100" s="122">
        <f>SUM(CE85+CF85+CL85+CM85+CO85)</f>
        <v>0.4784010315925209</v>
      </c>
      <c r="CI100" s="122">
        <f>SUM(CD85+CI85+CJ85+CK85)</f>
        <v>0.33565441650548028</v>
      </c>
      <c r="CJ100" s="122">
        <f>(CG100+CH100)/100%</f>
        <v>0.66434558349451955</v>
      </c>
      <c r="CK100" s="122">
        <f t="shared" si="109"/>
        <v>0.55397618132923554</v>
      </c>
      <c r="CL100" s="119" t="s">
        <v>140</v>
      </c>
      <c r="CM100" s="119"/>
      <c r="CN100" s="119"/>
      <c r="CO100" s="119"/>
    </row>
    <row r="101" spans="2:93" ht="15.6" x14ac:dyDescent="0.35">
      <c r="B101" s="93"/>
      <c r="C101" s="102">
        <f t="shared" si="106"/>
        <v>0</v>
      </c>
      <c r="D101" s="102">
        <f t="shared" si="106"/>
        <v>0</v>
      </c>
      <c r="E101" s="102">
        <f t="shared" si="106"/>
        <v>0</v>
      </c>
      <c r="F101" s="102">
        <f t="shared" si="106"/>
        <v>0</v>
      </c>
      <c r="G101" s="102">
        <f t="shared" si="106"/>
        <v>0</v>
      </c>
      <c r="H101" s="102">
        <f t="shared" si="106"/>
        <v>0</v>
      </c>
      <c r="I101" s="102">
        <f t="shared" si="106"/>
        <v>0</v>
      </c>
      <c r="J101" s="102">
        <f t="shared" si="106"/>
        <v>0</v>
      </c>
      <c r="K101" s="102">
        <f t="shared" si="106"/>
        <v>0</v>
      </c>
      <c r="L101" s="102">
        <f t="shared" si="106"/>
        <v>0</v>
      </c>
      <c r="M101" s="102">
        <f t="shared" si="106"/>
        <v>1</v>
      </c>
      <c r="N101" s="103">
        <f t="shared" si="106"/>
        <v>0</v>
      </c>
      <c r="T101" s="113">
        <f t="shared" si="107"/>
        <v>1</v>
      </c>
      <c r="U101" s="101">
        <f t="shared" si="101"/>
        <v>0</v>
      </c>
      <c r="V101" s="102">
        <f t="shared" ref="V101:AC101" si="114">D101*$X18</f>
        <v>0</v>
      </c>
      <c r="W101" s="102">
        <f t="shared" si="114"/>
        <v>0</v>
      </c>
      <c r="X101" s="102">
        <f t="shared" si="114"/>
        <v>0</v>
      </c>
      <c r="Y101" s="102">
        <f t="shared" si="114"/>
        <v>0</v>
      </c>
      <c r="Z101" s="102">
        <f t="shared" si="114"/>
        <v>0</v>
      </c>
      <c r="AA101" s="102">
        <f t="shared" si="114"/>
        <v>0</v>
      </c>
      <c r="AB101" s="102">
        <f t="shared" si="114"/>
        <v>0</v>
      </c>
      <c r="AC101" s="102">
        <f t="shared" si="114"/>
        <v>0</v>
      </c>
      <c r="AD101" s="102">
        <f t="shared" si="103"/>
        <v>0</v>
      </c>
      <c r="AE101" s="102">
        <f t="shared" si="104"/>
        <v>3</v>
      </c>
      <c r="AF101" s="103">
        <f t="shared" si="105"/>
        <v>0</v>
      </c>
      <c r="CC101" s="118" t="s">
        <v>115</v>
      </c>
      <c r="CD101" s="119" t="s">
        <v>131</v>
      </c>
      <c r="CE101" s="119" t="s">
        <v>122</v>
      </c>
      <c r="CF101" s="2" t="s">
        <v>130</v>
      </c>
      <c r="CG101" s="122">
        <f>SUM(CE85+CN85)</f>
        <v>0.17188910380399741</v>
      </c>
      <c r="CH101" s="122">
        <f>CO85</f>
        <v>1.8181818181818181E-2</v>
      </c>
      <c r="CI101" s="122">
        <f>SUM(CD85+CF85+CG85+CH85+CI85+CJ85+CK85+CL85+CM85)</f>
        <v>0.80992907801418412</v>
      </c>
      <c r="CJ101" s="122">
        <f>CG101+CH101</f>
        <v>0.1900709219858156</v>
      </c>
      <c r="CK101" s="122">
        <f t="shared" si="109"/>
        <v>0.2122273523324312</v>
      </c>
      <c r="CL101" s="119" t="s">
        <v>140</v>
      </c>
      <c r="CM101" s="119"/>
      <c r="CN101" s="119"/>
      <c r="CO101" s="119"/>
    </row>
    <row r="102" spans="2:93" ht="15.6" x14ac:dyDescent="0.35">
      <c r="B102" s="93"/>
      <c r="C102" s="102">
        <f t="shared" si="106"/>
        <v>0</v>
      </c>
      <c r="D102" s="102">
        <f t="shared" si="106"/>
        <v>0</v>
      </c>
      <c r="E102" s="102">
        <f t="shared" si="106"/>
        <v>0</v>
      </c>
      <c r="F102" s="102">
        <f t="shared" si="106"/>
        <v>0</v>
      </c>
      <c r="G102" s="102">
        <f t="shared" si="106"/>
        <v>0</v>
      </c>
      <c r="H102" s="102">
        <f t="shared" si="106"/>
        <v>0</v>
      </c>
      <c r="I102" s="102">
        <f t="shared" si="106"/>
        <v>0</v>
      </c>
      <c r="J102" s="102">
        <f t="shared" si="106"/>
        <v>0</v>
      </c>
      <c r="K102" s="102">
        <f t="shared" si="106"/>
        <v>0</v>
      </c>
      <c r="L102" s="102">
        <f t="shared" si="106"/>
        <v>0</v>
      </c>
      <c r="M102" s="102">
        <f t="shared" si="106"/>
        <v>1</v>
      </c>
      <c r="N102" s="103">
        <f t="shared" si="106"/>
        <v>0</v>
      </c>
      <c r="T102" s="113">
        <f t="shared" si="107"/>
        <v>1</v>
      </c>
      <c r="U102" s="101">
        <f t="shared" si="101"/>
        <v>0</v>
      </c>
      <c r="V102" s="102">
        <f t="shared" ref="V102:AC102" si="115">D102*$X19</f>
        <v>0</v>
      </c>
      <c r="W102" s="102">
        <f t="shared" si="115"/>
        <v>0</v>
      </c>
      <c r="X102" s="102">
        <f t="shared" si="115"/>
        <v>0</v>
      </c>
      <c r="Y102" s="102">
        <f t="shared" si="115"/>
        <v>0</v>
      </c>
      <c r="Z102" s="102">
        <f t="shared" si="115"/>
        <v>0</v>
      </c>
      <c r="AA102" s="102">
        <f t="shared" si="115"/>
        <v>0</v>
      </c>
      <c r="AB102" s="102">
        <f t="shared" si="115"/>
        <v>0</v>
      </c>
      <c r="AC102" s="102">
        <f t="shared" si="115"/>
        <v>0</v>
      </c>
      <c r="AD102" s="102">
        <f t="shared" si="103"/>
        <v>0</v>
      </c>
      <c r="AE102" s="102">
        <f t="shared" si="104"/>
        <v>1</v>
      </c>
      <c r="AF102" s="103">
        <f t="shared" si="105"/>
        <v>0</v>
      </c>
      <c r="CC102" s="118" t="s">
        <v>116</v>
      </c>
      <c r="CD102" s="119" t="s">
        <v>143</v>
      </c>
      <c r="CE102" s="119" t="s">
        <v>122</v>
      </c>
      <c r="CF102" s="119" t="s">
        <v>142</v>
      </c>
      <c r="CG102" s="122">
        <f>SUM(CE85+CI85+CN85)</f>
        <v>0.26473243068987745</v>
      </c>
      <c r="CH102" s="122">
        <f>CO85</f>
        <v>1.8181818181818181E-2</v>
      </c>
      <c r="CI102" s="122">
        <f>SUM(CD85+CF85+CG85+CJ85+CK85+CL85+CM85)</f>
        <v>0.64513217279174706</v>
      </c>
      <c r="CJ102" s="122">
        <f>CG102+CH102</f>
        <v>0.28291424887169564</v>
      </c>
      <c r="CK102" s="122">
        <f>CG102/CI102</f>
        <v>0.41035378772736364</v>
      </c>
      <c r="CL102" s="119" t="s">
        <v>140</v>
      </c>
      <c r="CM102" s="119"/>
      <c r="CN102" s="119"/>
      <c r="CO102" s="119"/>
    </row>
    <row r="103" spans="2:93" ht="15.6" x14ac:dyDescent="0.35">
      <c r="B103" s="93"/>
      <c r="C103" s="102">
        <f t="shared" si="106"/>
        <v>0</v>
      </c>
      <c r="D103" s="102">
        <f t="shared" si="106"/>
        <v>0</v>
      </c>
      <c r="E103" s="102">
        <f t="shared" si="106"/>
        <v>0</v>
      </c>
      <c r="F103" s="102">
        <f t="shared" si="106"/>
        <v>0</v>
      </c>
      <c r="G103" s="102">
        <f t="shared" si="106"/>
        <v>0</v>
      </c>
      <c r="H103" s="102">
        <f t="shared" si="106"/>
        <v>0</v>
      </c>
      <c r="I103" s="102">
        <f t="shared" si="106"/>
        <v>0</v>
      </c>
      <c r="J103" s="102">
        <f t="shared" si="106"/>
        <v>0</v>
      </c>
      <c r="K103" s="102">
        <f t="shared" si="106"/>
        <v>0</v>
      </c>
      <c r="L103" s="102">
        <f t="shared" si="106"/>
        <v>0</v>
      </c>
      <c r="M103" s="102">
        <f t="shared" si="106"/>
        <v>0</v>
      </c>
      <c r="N103" s="103">
        <f t="shared" si="106"/>
        <v>1</v>
      </c>
      <c r="T103" s="113">
        <f t="shared" si="107"/>
        <v>1</v>
      </c>
      <c r="U103" s="101">
        <f t="shared" si="101"/>
        <v>0</v>
      </c>
      <c r="V103" s="102">
        <f t="shared" ref="V103:AC103" si="116">D103*$X20</f>
        <v>0</v>
      </c>
      <c r="W103" s="102">
        <f t="shared" si="116"/>
        <v>0</v>
      </c>
      <c r="X103" s="102">
        <f t="shared" si="116"/>
        <v>0</v>
      </c>
      <c r="Y103" s="102">
        <f t="shared" si="116"/>
        <v>0</v>
      </c>
      <c r="Z103" s="102">
        <f t="shared" si="116"/>
        <v>0</v>
      </c>
      <c r="AA103" s="102">
        <f t="shared" si="116"/>
        <v>0</v>
      </c>
      <c r="AB103" s="102">
        <f t="shared" si="116"/>
        <v>0</v>
      </c>
      <c r="AC103" s="102">
        <f t="shared" si="116"/>
        <v>0</v>
      </c>
      <c r="AD103" s="102">
        <f t="shared" si="103"/>
        <v>0</v>
      </c>
      <c r="AE103" s="102">
        <f t="shared" si="104"/>
        <v>0</v>
      </c>
      <c r="AF103" s="103">
        <f t="shared" si="105"/>
        <v>4</v>
      </c>
      <c r="CC103" s="118" t="s">
        <v>117</v>
      </c>
      <c r="CD103" s="119" t="s">
        <v>131</v>
      </c>
      <c r="CE103" s="119" t="s">
        <v>147</v>
      </c>
      <c r="CF103" s="119" t="s">
        <v>148</v>
      </c>
      <c r="CG103" s="122">
        <f>SUM(CE85,CN85)</f>
        <v>0.17188910380399741</v>
      </c>
      <c r="CH103" s="122">
        <f>SUM(CG85,CO85)</f>
        <v>0.10212765957446807</v>
      </c>
      <c r="CI103" s="122">
        <f>SUM(CD85,CF85,CH85,CI85,CJ85,CK85,CL85,CM85)</f>
        <v>0.7259832366215343</v>
      </c>
      <c r="CJ103" s="122">
        <f>SUM(CG103,CH103)</f>
        <v>0.27401676337846548</v>
      </c>
      <c r="CK103" s="122">
        <f>CG103/CI103</f>
        <v>0.23676731793960928</v>
      </c>
      <c r="CL103" s="119" t="s">
        <v>140</v>
      </c>
      <c r="CM103" s="119"/>
      <c r="CN103" s="119"/>
      <c r="CO103" s="119"/>
    </row>
    <row r="104" spans="2:93" ht="15.6" x14ac:dyDescent="0.35">
      <c r="B104" s="93"/>
      <c r="C104" s="102">
        <f t="shared" si="106"/>
        <v>0.21428571428571427</v>
      </c>
      <c r="D104" s="102">
        <f t="shared" si="106"/>
        <v>7.1428571428571425E-2</v>
      </c>
      <c r="E104" s="102">
        <f t="shared" si="106"/>
        <v>0</v>
      </c>
      <c r="F104" s="102">
        <f t="shared" si="106"/>
        <v>0</v>
      </c>
      <c r="G104" s="102">
        <f t="shared" si="106"/>
        <v>0.6428571428571429</v>
      </c>
      <c r="H104" s="102">
        <f t="shared" si="106"/>
        <v>0</v>
      </c>
      <c r="I104" s="102">
        <f t="shared" si="106"/>
        <v>0</v>
      </c>
      <c r="J104" s="102">
        <f t="shared" si="106"/>
        <v>0</v>
      </c>
      <c r="K104" s="102">
        <f t="shared" si="106"/>
        <v>7.1428571428571425E-2</v>
      </c>
      <c r="L104" s="102">
        <f t="shared" si="106"/>
        <v>0</v>
      </c>
      <c r="M104" s="102">
        <f t="shared" si="106"/>
        <v>0</v>
      </c>
      <c r="N104" s="103">
        <f t="shared" si="106"/>
        <v>0</v>
      </c>
      <c r="T104" s="113">
        <f t="shared" si="107"/>
        <v>1</v>
      </c>
      <c r="U104" s="101">
        <f t="shared" si="101"/>
        <v>1.2857142857142856</v>
      </c>
      <c r="V104" s="102">
        <f t="shared" ref="V104:AC104" si="117">D104*$X21</f>
        <v>0.42857142857142855</v>
      </c>
      <c r="W104" s="102">
        <f t="shared" si="117"/>
        <v>0</v>
      </c>
      <c r="X104" s="102">
        <f t="shared" si="117"/>
        <v>0</v>
      </c>
      <c r="Y104" s="102">
        <f t="shared" si="117"/>
        <v>3.8571428571428577</v>
      </c>
      <c r="Z104" s="102">
        <f t="shared" si="117"/>
        <v>0</v>
      </c>
      <c r="AA104" s="102">
        <f t="shared" si="117"/>
        <v>0</v>
      </c>
      <c r="AB104" s="102">
        <f t="shared" si="117"/>
        <v>0</v>
      </c>
      <c r="AC104" s="102">
        <f t="shared" si="117"/>
        <v>0.42857142857142855</v>
      </c>
      <c r="AD104" s="102">
        <f t="shared" si="103"/>
        <v>0</v>
      </c>
      <c r="AE104" s="102">
        <f t="shared" si="104"/>
        <v>0</v>
      </c>
      <c r="AF104" s="103">
        <f>N104*$X21</f>
        <v>0</v>
      </c>
      <c r="CC104" s="118" t="s">
        <v>118</v>
      </c>
      <c r="CD104" s="119"/>
      <c r="CE104" s="119" t="s">
        <v>139</v>
      </c>
      <c r="CF104" s="119" t="s">
        <v>149</v>
      </c>
      <c r="CG104" s="119">
        <v>0</v>
      </c>
      <c r="CH104" s="122">
        <f>SUM(CD85,CE85,CF85,CI85,CK85,CO85)</f>
        <v>0.51953578336557049</v>
      </c>
      <c r="CI104" s="122">
        <f>SUM(CG85,CH85,CJ85,CL85,CM85,CN85)</f>
        <v>0.48046421663442934</v>
      </c>
      <c r="CJ104" s="122">
        <f>CG104+CH104</f>
        <v>0.51953578336557049</v>
      </c>
      <c r="CK104" s="119">
        <f>CG104/CI104</f>
        <v>0</v>
      </c>
      <c r="CL104" s="119" t="s">
        <v>140</v>
      </c>
      <c r="CM104" s="119"/>
      <c r="CN104" s="119"/>
      <c r="CO104" s="119"/>
    </row>
    <row r="105" spans="2:93" ht="15.6" x14ac:dyDescent="0.35">
      <c r="B105" s="93"/>
      <c r="C105" s="102">
        <f t="shared" si="106"/>
        <v>0</v>
      </c>
      <c r="D105" s="102">
        <f t="shared" si="106"/>
        <v>0</v>
      </c>
      <c r="E105" s="102">
        <f t="shared" si="106"/>
        <v>0</v>
      </c>
      <c r="F105" s="102">
        <f t="shared" si="106"/>
        <v>1</v>
      </c>
      <c r="G105" s="102">
        <f t="shared" si="106"/>
        <v>0</v>
      </c>
      <c r="H105" s="102">
        <f t="shared" si="106"/>
        <v>0</v>
      </c>
      <c r="I105" s="102">
        <f t="shared" si="106"/>
        <v>0</v>
      </c>
      <c r="J105" s="102">
        <f t="shared" si="106"/>
        <v>0</v>
      </c>
      <c r="K105" s="102">
        <f t="shared" si="106"/>
        <v>0</v>
      </c>
      <c r="L105" s="102">
        <f t="shared" si="106"/>
        <v>0</v>
      </c>
      <c r="M105" s="102">
        <f t="shared" si="106"/>
        <v>0</v>
      </c>
      <c r="N105" s="103">
        <f t="shared" si="106"/>
        <v>0</v>
      </c>
      <c r="T105" s="113">
        <f t="shared" si="107"/>
        <v>1</v>
      </c>
      <c r="U105" s="101">
        <f t="shared" si="101"/>
        <v>0</v>
      </c>
      <c r="V105" s="102">
        <f t="shared" ref="V105:AC105" si="118">D105*$X22</f>
        <v>0</v>
      </c>
      <c r="W105" s="102">
        <f t="shared" si="118"/>
        <v>0</v>
      </c>
      <c r="X105" s="102">
        <f t="shared" si="118"/>
        <v>3.5999999999999996</v>
      </c>
      <c r="Y105" s="102">
        <f t="shared" si="118"/>
        <v>0</v>
      </c>
      <c r="Z105" s="102">
        <f t="shared" si="118"/>
        <v>0</v>
      </c>
      <c r="AA105" s="102">
        <f t="shared" si="118"/>
        <v>0</v>
      </c>
      <c r="AB105" s="102">
        <f t="shared" si="118"/>
        <v>0</v>
      </c>
      <c r="AC105" s="102">
        <f t="shared" si="118"/>
        <v>0</v>
      </c>
      <c r="AD105" s="102">
        <f t="shared" si="103"/>
        <v>0</v>
      </c>
      <c r="AE105" s="102">
        <f t="shared" si="104"/>
        <v>0</v>
      </c>
      <c r="AF105" s="103">
        <f t="shared" ref="AF105:AF106" si="119">N105*$X22</f>
        <v>0</v>
      </c>
      <c r="CC105" s="118" t="s">
        <v>119</v>
      </c>
      <c r="CD105" s="119" t="s">
        <v>146</v>
      </c>
      <c r="CE105" s="119" t="s">
        <v>145</v>
      </c>
      <c r="CF105" s="119" t="s">
        <v>144</v>
      </c>
      <c r="CG105" s="122">
        <f>SUM(CD85,CI85,CJ85,CK85)</f>
        <v>0.33565441650548028</v>
      </c>
      <c r="CH105" s="122">
        <f>SUM(CE85,CF85,CL85,CM85,CO85)</f>
        <v>0.4784010315925209</v>
      </c>
      <c r="CI105" s="122">
        <f>SUM(CG85,CH85,CN85)</f>
        <v>0.18594455190199868</v>
      </c>
      <c r="CJ105" s="122">
        <f>SUM(CG105,CH105)</f>
        <v>0.81405544809800112</v>
      </c>
      <c r="CK105" s="122">
        <f>CG105/CI105</f>
        <v>1.8051317614424409</v>
      </c>
      <c r="CL105" s="119" t="s">
        <v>136</v>
      </c>
      <c r="CM105" s="119"/>
      <c r="CN105" s="119"/>
      <c r="CO105" s="119"/>
    </row>
    <row r="106" spans="2:93" ht="16.2" thickBot="1" x14ac:dyDescent="0.4">
      <c r="B106" s="95"/>
      <c r="C106" s="105">
        <f t="shared" si="106"/>
        <v>0</v>
      </c>
      <c r="D106" s="105">
        <f t="shared" si="106"/>
        <v>0.25</v>
      </c>
      <c r="E106" s="105">
        <f t="shared" si="106"/>
        <v>0</v>
      </c>
      <c r="F106" s="105">
        <f t="shared" si="106"/>
        <v>0</v>
      </c>
      <c r="G106" s="105">
        <f t="shared" si="106"/>
        <v>0</v>
      </c>
      <c r="H106" s="105">
        <f t="shared" si="106"/>
        <v>0</v>
      </c>
      <c r="I106" s="105">
        <f t="shared" si="106"/>
        <v>0</v>
      </c>
      <c r="J106" s="105">
        <f t="shared" si="106"/>
        <v>0.75</v>
      </c>
      <c r="K106" s="105">
        <f t="shared" si="106"/>
        <v>0</v>
      </c>
      <c r="L106" s="105">
        <f t="shared" si="106"/>
        <v>0</v>
      </c>
      <c r="M106" s="105">
        <f t="shared" si="106"/>
        <v>0</v>
      </c>
      <c r="N106" s="106">
        <f t="shared" si="106"/>
        <v>0</v>
      </c>
      <c r="T106" s="114">
        <f t="shared" si="107"/>
        <v>1</v>
      </c>
      <c r="U106" s="104">
        <f t="shared" si="101"/>
        <v>0</v>
      </c>
      <c r="V106" s="105">
        <f t="shared" ref="V106:AC106" si="120">D106*$X23</f>
        <v>0.75</v>
      </c>
      <c r="W106" s="105">
        <f t="shared" si="120"/>
        <v>0</v>
      </c>
      <c r="X106" s="105">
        <f t="shared" si="120"/>
        <v>0</v>
      </c>
      <c r="Y106" s="105">
        <f t="shared" si="120"/>
        <v>0</v>
      </c>
      <c r="Z106" s="105">
        <f t="shared" si="120"/>
        <v>0</v>
      </c>
      <c r="AA106" s="105">
        <f t="shared" si="120"/>
        <v>0</v>
      </c>
      <c r="AB106" s="105">
        <f t="shared" si="120"/>
        <v>2.25</v>
      </c>
      <c r="AC106" s="105">
        <f t="shared" si="120"/>
        <v>0</v>
      </c>
      <c r="AD106" s="105">
        <f t="shared" si="103"/>
        <v>0</v>
      </c>
      <c r="AE106" s="105">
        <f t="shared" si="104"/>
        <v>0</v>
      </c>
      <c r="AF106" s="106">
        <f t="shared" si="119"/>
        <v>0</v>
      </c>
      <c r="CC106" s="118" t="s">
        <v>120</v>
      </c>
      <c r="CD106" s="119" t="s">
        <v>148</v>
      </c>
      <c r="CE106" s="119" t="s">
        <v>147</v>
      </c>
      <c r="CF106" s="119" t="s">
        <v>131</v>
      </c>
      <c r="CG106" s="122">
        <f>SUM(CD85,CF85,CH85,CI85,CJ85,CK85,CL85,CM85)</f>
        <v>0.7259832366215343</v>
      </c>
      <c r="CH106" s="124">
        <f>SUM(CG85,CO85)</f>
        <v>0.10212765957446807</v>
      </c>
      <c r="CI106" s="122">
        <f>SUM(CE85,CN85)</f>
        <v>0.17188910380399741</v>
      </c>
      <c r="CJ106" s="122">
        <f>SUM(CG106,CH106)</f>
        <v>0.82811089619600242</v>
      </c>
      <c r="CK106" s="122">
        <f>CG106/CI106</f>
        <v>4.2235558889722418</v>
      </c>
      <c r="CL106" s="119" t="s">
        <v>136</v>
      </c>
      <c r="CM106" s="119"/>
      <c r="CN106" s="119"/>
      <c r="CO106" s="119"/>
    </row>
    <row r="108" spans="2:93" ht="13.8" thickBot="1" x14ac:dyDescent="0.3"/>
    <row r="109" spans="2:93" ht="14.4" x14ac:dyDescent="0.3">
      <c r="B109" s="90" t="s">
        <v>84</v>
      </c>
      <c r="C109" s="91"/>
      <c r="D109" s="91"/>
      <c r="E109" s="91"/>
      <c r="F109" s="91"/>
      <c r="G109" s="91"/>
      <c r="H109" s="91"/>
      <c r="I109" s="91"/>
      <c r="J109" s="99">
        <f>SUM(U81:U92)</f>
        <v>169.5</v>
      </c>
      <c r="K109" s="99">
        <f t="shared" ref="K109:U109" si="121">SUM(V81:V92)</f>
        <v>194.1</v>
      </c>
      <c r="L109" s="99">
        <f t="shared" si="121"/>
        <v>166.5</v>
      </c>
      <c r="M109" s="99">
        <f t="shared" si="121"/>
        <v>117.9</v>
      </c>
      <c r="N109" s="99">
        <f t="shared" si="121"/>
        <v>108</v>
      </c>
      <c r="O109" s="99">
        <f t="shared" si="121"/>
        <v>140.69999999999999</v>
      </c>
      <c r="P109" s="99">
        <f t="shared" si="121"/>
        <v>111.6</v>
      </c>
      <c r="Q109" s="99">
        <f t="shared" si="121"/>
        <v>84.6</v>
      </c>
      <c r="R109" s="99">
        <f t="shared" si="121"/>
        <v>117.6</v>
      </c>
      <c r="S109" s="99">
        <f t="shared" si="121"/>
        <v>243</v>
      </c>
      <c r="T109" s="99">
        <f t="shared" si="121"/>
        <v>30</v>
      </c>
      <c r="U109" s="100">
        <f t="shared" si="121"/>
        <v>36</v>
      </c>
    </row>
    <row r="110" spans="2:93" ht="15" thickBot="1" x14ac:dyDescent="0.35">
      <c r="B110" s="111" t="s">
        <v>85</v>
      </c>
      <c r="C110" s="96"/>
      <c r="D110" s="96"/>
      <c r="E110" s="96"/>
      <c r="F110" s="96"/>
      <c r="G110" s="96"/>
      <c r="H110" s="96"/>
      <c r="I110" s="96"/>
      <c r="J110" s="112">
        <f>J109/SUM($J$109:$U$109)</f>
        <v>0.11154985192497532</v>
      </c>
      <c r="K110" s="112">
        <f t="shared" ref="K110:U110" si="122">K109/SUM($J$109:$U$109)</f>
        <v>0.12773938795656464</v>
      </c>
      <c r="L110" s="112">
        <f t="shared" si="122"/>
        <v>0.10957551826258638</v>
      </c>
      <c r="M110" s="112">
        <f t="shared" si="122"/>
        <v>7.7591312931885495E-2</v>
      </c>
      <c r="N110" s="112">
        <f t="shared" si="122"/>
        <v>7.1076011846001971E-2</v>
      </c>
      <c r="O110" s="112">
        <f t="shared" si="122"/>
        <v>9.2596248766041458E-2</v>
      </c>
      <c r="P110" s="112">
        <f t="shared" si="122"/>
        <v>7.344521224086871E-2</v>
      </c>
      <c r="Q110" s="112">
        <f t="shared" si="122"/>
        <v>5.5676209279368206E-2</v>
      </c>
      <c r="R110" s="112">
        <f t="shared" si="122"/>
        <v>7.7393879565646584E-2</v>
      </c>
      <c r="S110" s="112">
        <f t="shared" si="122"/>
        <v>0.15992102665350444</v>
      </c>
      <c r="T110" s="112">
        <f t="shared" si="122"/>
        <v>1.9743336623889437E-2</v>
      </c>
      <c r="U110" s="115">
        <f t="shared" si="122"/>
        <v>2.3692003948667325E-2</v>
      </c>
    </row>
    <row r="111" spans="2:93" ht="12.75" customHeight="1" x14ac:dyDescent="0.3">
      <c r="B111"/>
      <c r="C111"/>
      <c r="D111"/>
      <c r="E111"/>
      <c r="F111"/>
      <c r="G111"/>
      <c r="H111"/>
      <c r="I111" s="94" t="s">
        <v>86</v>
      </c>
      <c r="J111">
        <f>3</f>
        <v>3</v>
      </c>
      <c r="K111">
        <f>2</f>
        <v>2</v>
      </c>
      <c r="L111">
        <f>3</f>
        <v>3</v>
      </c>
      <c r="M111">
        <f>5</f>
        <v>5</v>
      </c>
      <c r="N111">
        <f>6</f>
        <v>6</v>
      </c>
      <c r="O111">
        <f>4</f>
        <v>4</v>
      </c>
      <c r="P111">
        <f>6</f>
        <v>6</v>
      </c>
      <c r="Q111">
        <f>7</f>
        <v>7</v>
      </c>
      <c r="R111">
        <f>5</f>
        <v>5</v>
      </c>
      <c r="S111">
        <f>1</f>
        <v>1</v>
      </c>
      <c r="T111">
        <f>8</f>
        <v>8</v>
      </c>
      <c r="U111">
        <f>8</f>
        <v>8</v>
      </c>
      <c r="CJ111" s="124"/>
    </row>
  </sheetData>
  <mergeCells count="14">
    <mergeCell ref="L80:M80"/>
    <mergeCell ref="U94:AF94"/>
    <mergeCell ref="U80:AF80"/>
    <mergeCell ref="T10:T11"/>
    <mergeCell ref="A10:B11"/>
    <mergeCell ref="C10:C11"/>
    <mergeCell ref="D10:D11"/>
    <mergeCell ref="R10:R11"/>
    <mergeCell ref="S10:S11"/>
    <mergeCell ref="U10:U11"/>
    <mergeCell ref="V10:V11"/>
    <mergeCell ref="W10:W11"/>
    <mergeCell ref="X10:X11"/>
    <mergeCell ref="Y10:Y11"/>
  </mergeCells>
  <pageMargins left="0.25" right="0.25" top="0.75" bottom="0.75" header="0.3" footer="0.3"/>
  <pageSetup paperSize="9" scale="9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HoQ on Running T-shirt</vt:lpstr>
      <vt:lpstr>'Final HoQ on Running T-shirt'!Print_Area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bordo</dc:creator>
  <cp:keywords/>
  <dc:description/>
  <cp:lastModifiedBy>Barligea  Roxana Nicoleta</cp:lastModifiedBy>
  <cp:revision/>
  <dcterms:created xsi:type="dcterms:W3CDTF">2021-11-30T13:35:50Z</dcterms:created>
  <dcterms:modified xsi:type="dcterms:W3CDTF">2023-11-18T15:15:33Z</dcterms:modified>
  <cp:category/>
  <cp:contentStatus/>
</cp:coreProperties>
</file>